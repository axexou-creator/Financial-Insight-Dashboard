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xel\Documents\"/>
    </mc:Choice>
  </mc:AlternateContent>
  <xr:revisionPtr revIDLastSave="0" documentId="8_{7FD17A69-9F6B-4E6F-AD78-76002FBC8308}" xr6:coauthVersionLast="47" xr6:coauthVersionMax="47" xr10:uidLastSave="{00000000-0000-0000-0000-000000000000}"/>
  <bookViews>
    <workbookView xWindow="-98" yWindow="-98" windowWidth="21795" windowHeight="12975" xr2:uid="{BDFBE49B-1A56-4579-B18A-0481B26EB524}"/>
  </bookViews>
  <sheets>
    <sheet name="CATL" sheetId="1" r:id="rId1"/>
    <sheet name="Sungrow" sheetId="2" r:id="rId2"/>
    <sheet name="Fluence" sheetId="3" r:id="rId3"/>
    <sheet name="EVE Energy" sheetId="4" r:id="rId4"/>
    <sheet name="Comparison Table" sheetId="5" r:id="rId5"/>
    <sheet name="Investment thesis" sheetId="6" r:id="rId6"/>
    <sheet name="Valuation"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7" l="1"/>
  <c r="G9" i="7"/>
  <c r="F9" i="7"/>
  <c r="E9" i="7"/>
  <c r="D9" i="7"/>
  <c r="C9" i="7"/>
  <c r="B9" i="7"/>
  <c r="E7" i="7"/>
  <c r="G7" i="7"/>
  <c r="F7" i="7"/>
  <c r="C7" i="7"/>
  <c r="D7" i="7"/>
  <c r="B7" i="7"/>
  <c r="G4" i="7"/>
  <c r="F4" i="7"/>
  <c r="E4" i="7"/>
  <c r="D4" i="7"/>
  <c r="C4" i="7"/>
  <c r="B4" i="7"/>
  <c r="G8" i="7"/>
  <c r="G6" i="7"/>
  <c r="G5" i="7"/>
  <c r="G3" i="7"/>
  <c r="F8" i="7"/>
  <c r="F6" i="7"/>
  <c r="F5" i="7"/>
  <c r="F3" i="7"/>
  <c r="G2" i="7"/>
  <c r="F2" i="7"/>
  <c r="G13" i="4"/>
  <c r="F13" i="4"/>
  <c r="G10" i="4"/>
  <c r="G12" i="4" s="1"/>
  <c r="G14" i="4" s="1"/>
  <c r="F10" i="4"/>
  <c r="G19" i="4"/>
  <c r="G20" i="4" s="1"/>
  <c r="F19" i="4"/>
  <c r="F20" i="4" s="1"/>
  <c r="G18" i="4"/>
  <c r="F18" i="4"/>
  <c r="F12" i="4"/>
  <c r="F14" i="4" s="1"/>
  <c r="G9" i="4"/>
  <c r="F9" i="4"/>
  <c r="F11" i="4" s="1"/>
  <c r="G8" i="4"/>
  <c r="F8" i="4"/>
  <c r="G13" i="3"/>
  <c r="F13" i="3"/>
  <c r="G10" i="3"/>
  <c r="F10" i="3"/>
  <c r="F12" i="3" s="1"/>
  <c r="F14" i="3" s="1"/>
  <c r="G19" i="3"/>
  <c r="G20" i="3" s="1"/>
  <c r="F19" i="3"/>
  <c r="F20" i="3" s="1"/>
  <c r="G18" i="3"/>
  <c r="F18" i="3"/>
  <c r="G12" i="3"/>
  <c r="G9" i="3"/>
  <c r="F9" i="3"/>
  <c r="G8" i="3"/>
  <c r="F8" i="3"/>
  <c r="G20" i="2"/>
  <c r="F20" i="2"/>
  <c r="G19" i="2"/>
  <c r="F19" i="2"/>
  <c r="G10" i="2"/>
  <c r="G12" i="2" s="1"/>
  <c r="F10" i="2"/>
  <c r="F12" i="2" s="1"/>
  <c r="G9" i="2"/>
  <c r="F9" i="2"/>
  <c r="G18" i="2"/>
  <c r="F18" i="2"/>
  <c r="G11" i="2"/>
  <c r="G8" i="2"/>
  <c r="F8" i="2"/>
  <c r="G20" i="1"/>
  <c r="F20" i="1"/>
  <c r="G18" i="1"/>
  <c r="F18" i="1"/>
  <c r="F12" i="1"/>
  <c r="F14" i="1" s="1"/>
  <c r="G11" i="4" l="1"/>
  <c r="G15" i="4" s="1"/>
  <c r="F15" i="4"/>
  <c r="G14" i="3"/>
  <c r="G11" i="3"/>
  <c r="G15" i="3" s="1"/>
  <c r="F11" i="3"/>
  <c r="F15" i="3"/>
  <c r="F14" i="2"/>
  <c r="G14" i="2"/>
  <c r="F11" i="2"/>
  <c r="G15" i="2"/>
  <c r="F10" i="1"/>
  <c r="F11" i="1" s="1"/>
  <c r="F8" i="1"/>
  <c r="G12" i="1"/>
  <c r="G10" i="1"/>
  <c r="G11" i="1" s="1"/>
  <c r="G8" i="1"/>
  <c r="F15" i="1" l="1"/>
  <c r="F15" i="2"/>
  <c r="G14" i="1"/>
  <c r="G15" i="1" s="1"/>
</calcChain>
</file>

<file path=xl/sharedStrings.xml><?xml version="1.0" encoding="utf-8"?>
<sst xmlns="http://schemas.openxmlformats.org/spreadsheetml/2006/main" count="525" uniqueCount="149">
  <si>
    <t>(in CAD millions)</t>
  </si>
  <si>
    <t>CATL</t>
  </si>
  <si>
    <t>Ratio</t>
  </si>
  <si>
    <t>Dec' 23</t>
  </si>
  <si>
    <t>Dec' 24</t>
  </si>
  <si>
    <t>Net Income</t>
  </si>
  <si>
    <t>Revenue</t>
  </si>
  <si>
    <t>Net Margin (%)</t>
  </si>
  <si>
    <t>Avg. Assets</t>
  </si>
  <si>
    <t>Assets Turnover</t>
  </si>
  <si>
    <t>Avg. Equity</t>
  </si>
  <si>
    <t>Equity Multiplier</t>
  </si>
  <si>
    <t>ROE</t>
  </si>
  <si>
    <t>Total Liabilities</t>
  </si>
  <si>
    <t>Total Shareholder's equity</t>
  </si>
  <si>
    <t>Debt-to-Equity</t>
  </si>
  <si>
    <t>Avg. number employees</t>
  </si>
  <si>
    <t>Revenue/EMPs</t>
  </si>
  <si>
    <t>Days Sales Outstanding</t>
  </si>
  <si>
    <t>Inventory Turnover</t>
  </si>
  <si>
    <t>Operating Margin</t>
  </si>
  <si>
    <t>Current Ratio</t>
  </si>
  <si>
    <t>Sungrow Power Supply Co., Ltd.</t>
  </si>
  <si>
    <t>Operating Margin (%)</t>
  </si>
  <si>
    <t>Fluence Energy, Inc.</t>
  </si>
  <si>
    <t>Sep' 23</t>
  </si>
  <si>
    <t>Sep' 24</t>
  </si>
  <si>
    <t>EVE Energy Co. Ltd.</t>
  </si>
  <si>
    <t>Contemporary Amperex Technology Co., Limited Class A (300750-CN)</t>
  </si>
  <si>
    <t>Y404.12</t>
  </si>
  <si>
    <t> </t>
  </si>
  <si>
    <t>Comps Tables - Named Competitors</t>
  </si>
  <si>
    <t>Selected Financials</t>
  </si>
  <si>
    <t>Market Data (C$)</t>
  </si>
  <si>
    <t>Financial (C$)</t>
  </si>
  <si>
    <t>Valuation (x)</t>
  </si>
  <si>
    <t>Price Change (%)</t>
  </si>
  <si>
    <t>Company</t>
  </si>
  <si>
    <t>Fiscal</t>
  </si>
  <si>
    <t>Shares Out</t>
  </si>
  <si>
    <t>EV/</t>
  </si>
  <si>
    <t>Name</t>
  </si>
  <si>
    <t>Ticker</t>
  </si>
  <si>
    <t>Period</t>
  </si>
  <si>
    <t>Price</t>
  </si>
  <si>
    <t>Mkt Cap (M)</t>
  </si>
  <si>
    <t>EV (M)</t>
  </si>
  <si>
    <t>(M)</t>
  </si>
  <si>
    <t>Diluted (M)</t>
  </si>
  <si>
    <t>Sales (M)</t>
  </si>
  <si>
    <t>EBIT (M)</t>
  </si>
  <si>
    <t>EBITDA (M)</t>
  </si>
  <si>
    <t>EBIT</t>
  </si>
  <si>
    <t>EBITDA</t>
  </si>
  <si>
    <t>Actual</t>
  </si>
  <si>
    <t>NTM</t>
  </si>
  <si>
    <t>1 Year</t>
  </si>
  <si>
    <t>3 Year</t>
  </si>
  <si>
    <t>5 Year</t>
  </si>
  <si>
    <t>Contemp Amperex A</t>
  </si>
  <si>
    <t>300750-CN</t>
  </si>
  <si>
    <t>-</t>
  </si>
  <si>
    <t>34.07x</t>
  </si>
  <si>
    <t>Sungrow Power Supply A</t>
  </si>
  <si>
    <t>300274-CN</t>
  </si>
  <si>
    <t>21.97x</t>
  </si>
  <si>
    <t>Fluence Energy A</t>
  </si>
  <si>
    <t>FLNC-US</t>
  </si>
  <si>
    <t>EVE Energy A</t>
  </si>
  <si>
    <t>300014-CN</t>
  </si>
  <si>
    <t>64.75x</t>
  </si>
  <si>
    <t>Average</t>
  </si>
  <si>
    <t>40.26x</t>
  </si>
  <si>
    <t>Median</t>
  </si>
  <si>
    <t>Valuation</t>
  </si>
  <si>
    <t>P/E (x)</t>
  </si>
  <si>
    <t>EV/ (x)</t>
  </si>
  <si>
    <t>FY1</t>
  </si>
  <si>
    <t>Date</t>
  </si>
  <si>
    <t>FY2</t>
  </si>
  <si>
    <t>Sales</t>
  </si>
  <si>
    <t>29.47x</t>
  </si>
  <si>
    <t>27.20x</t>
  </si>
  <si>
    <t>21.86x</t>
  </si>
  <si>
    <t>4.58x</t>
  </si>
  <si>
    <t>26.18x</t>
  </si>
  <si>
    <t>26.51x</t>
  </si>
  <si>
    <t>22.78x</t>
  </si>
  <si>
    <t>4.17x</t>
  </si>
  <si>
    <t>1.27x</t>
  </si>
  <si>
    <t>49.16x</t>
  </si>
  <si>
    <t>38.79x</t>
  </si>
  <si>
    <t>23.54x</t>
  </si>
  <si>
    <t>3.33x</t>
  </si>
  <si>
    <t>34.94x</t>
  </si>
  <si>
    <t>30.83x</t>
  </si>
  <si>
    <t>22.73x</t>
  </si>
  <si>
    <t>3.34x</t>
  </si>
  <si>
    <t>3.75x</t>
  </si>
  <si>
    <t>Capitalization</t>
  </si>
  <si>
    <t>Cash &amp; ST</t>
  </si>
  <si>
    <t>Preferred</t>
  </si>
  <si>
    <t>Accumulated</t>
  </si>
  <si>
    <t>Investment (M)</t>
  </si>
  <si>
    <t>Total Debt (M)</t>
  </si>
  <si>
    <t>Stock (M)</t>
  </si>
  <si>
    <t>Min Interest (M)</t>
  </si>
  <si>
    <t>Margins</t>
  </si>
  <si>
    <t>Gross Margin (%)</t>
  </si>
  <si>
    <t>EBITDA Margin (%)</t>
  </si>
  <si>
    <t>EBIT Margin (%)</t>
  </si>
  <si>
    <t>Pretax Margin (%)</t>
  </si>
  <si>
    <t>Performance</t>
  </si>
  <si>
    <t>52 Week High</t>
  </si>
  <si>
    <t>52 Week Low</t>
  </si>
  <si>
    <t>Beta to</t>
  </si>
  <si>
    <t>Price (C$)</t>
  </si>
  <si>
    <t>% Below</t>
  </si>
  <si>
    <t>% Above</t>
  </si>
  <si>
    <t>Loc Indx 1Y</t>
  </si>
  <si>
    <t>1 Day</t>
  </si>
  <si>
    <t>1 Month</t>
  </si>
  <si>
    <t>3 Month</t>
  </si>
  <si>
    <t>6 Month</t>
  </si>
  <si>
    <t>Maximum</t>
  </si>
  <si>
    <t>Minimum</t>
  </si>
  <si>
    <t>Currency Dropdown Widget</t>
  </si>
  <si>
    <t>Source: FactSet. (2024). *Comparable Company Analysis: Contemporary Amperex Technology Co., Limited (300750-CN)*. Retrieved [Nov 14,2025]</t>
  </si>
  <si>
    <t>Reference list:</t>
  </si>
  <si>
    <t>FactSet. (n.d.). FactSet Workstation [Computer software]. FactSet Research Systems Inc. Retrieved [Nov 7, 2025], from https://www.factset.com/products/workstation</t>
  </si>
  <si>
    <t>The comparable company analysis for Contemporary Amperex Technology Co.,Limited  (300750-CN) was conducted using the proprietary FactSet platform (F. FactSet, personal communication, [Nov 7,2025]).</t>
  </si>
  <si>
    <t>Core Items</t>
  </si>
  <si>
    <t>CATL (300750-CN)</t>
  </si>
  <si>
    <t>Sungrow (300274-CN)</t>
  </si>
  <si>
    <t>EVE Energy (300014-CN)</t>
  </si>
  <si>
    <t>Fluence (FLNC-US)</t>
  </si>
  <si>
    <t>Industry Average (Excl. Fluence)</t>
  </si>
  <si>
    <t>Industry Median (Excl. Fluence)</t>
  </si>
  <si>
    <t>1. Forward EPS (CAD)</t>
  </si>
  <si>
    <t>2. Latest Stock Price (CAD)</t>
  </si>
  <si>
    <t>3. P/E (Forward)</t>
  </si>
  <si>
    <t>4. Latest Revenue (M CAD)</t>
  </si>
  <si>
    <t>5. Diluted Shares Outstanding (M)</t>
  </si>
  <si>
    <t>6. P/S</t>
  </si>
  <si>
    <t>7. Latest Shareholders' Equity (M CAD)</t>
  </si>
  <si>
    <t>8. P/B</t>
  </si>
  <si>
    <t>9. CATL Target Price (CAD/Share)</t>
  </si>
  <si>
    <t>Based on the market approach using comparable companies' mutiplies, we recommend a reasonable price per shrae of 79.66 CAD for Contemporary Amperex Technology Co., Limited(CATL), derived from the average  of target price calculated using industry median mutiples aligned with the company's forward EPS, revenue per share, and book value per share.</t>
  </si>
  <si>
    <t>FactSet. (2025, November 22). Data for CATL (ticker: 300750-CN), Sungrow (ticker: 300274-CN), EVE Energy (ticker: 300014-CN), and Fluence (ticker: FLNC-US) [Data set]. Retrieved from [CATL: https://my.apps.factset.com/workstation/navigator/company-security/snapshot/300750-CN; [Sungrow: https://my.apps.factset.com/workstation/navigator/company-security/snapshot/300274-CN]; [EVE Energy: https://my.apps.factset.com/workstation/navigator/company-security/snapshot/300014-CN]; [Fluence: https://my.apps.factset.com/workstation/navigator/company-security/snapshot/FLNC-US].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</si>
</sst>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theme="1"/>
      <name val="Aptos Narrow"/>
      <family val="2"/>
      <scheme val="minor"/>
    </font>
    <font>
      <b/>
      <sz val="11"/>
      <color theme="1"/>
      <name val="Aptos Narrow"/>
      <family val="2"/>
      <scheme val="minor"/>
    </font>
    <font>
      <u/>
      <sz val="11"/>
      <color theme="1"/>
      <name val="Aptos Narrow"/>
      <family val="2"/>
      <scheme val="minor"/>
    </font>
    <font>
      <b/>
      <sz val="10"/>
      <color rgb="FF000000"/>
      <name val="Arial"/>
      <family val="2"/>
      <charset val="1"/>
    </font>
    <font>
      <sz val="10"/>
      <color rgb="FF000000"/>
      <name val="Arial"/>
      <family val="2"/>
      <charset val="1"/>
    </font>
    <font>
      <sz val="10"/>
      <color rgb="FFFF0000"/>
      <name val="Arial"/>
      <family val="2"/>
      <charset val="1"/>
    </font>
    <font>
      <sz val="11"/>
      <color rgb="FF000000"/>
      <name val="Aptos Narrow"/>
      <family val="2"/>
      <scheme val="minor"/>
    </font>
    <font>
      <sz val="11"/>
      <color rgb="FF000000"/>
      <name val="宋体"/>
      <charset val="1"/>
    </font>
    <font>
      <b/>
      <sz val="16"/>
      <color theme="9"/>
      <name val="Aptos Narrow"/>
      <family val="2"/>
      <scheme val="minor"/>
    </font>
    <font>
      <sz val="16"/>
      <color rgb="FF000000"/>
      <name val="宋体"/>
      <charset val="1"/>
    </font>
    <font>
      <u/>
      <sz val="11"/>
      <color theme="10"/>
      <name val="Aptos Narrow"/>
      <family val="2"/>
      <scheme val="minor"/>
    </font>
    <font>
      <sz val="12"/>
      <color rgb="FF000000"/>
      <name val="Aptos Narrow"/>
      <scheme val="minor"/>
    </font>
  </fonts>
  <fills count="6">
    <fill>
      <patternFill patternType="none"/>
    </fill>
    <fill>
      <patternFill patternType="gray125"/>
    </fill>
    <fill>
      <patternFill patternType="solid">
        <fgColor rgb="FFFFFF00"/>
        <bgColor indexed="64"/>
      </patternFill>
    </fill>
    <fill>
      <patternFill patternType="solid">
        <fgColor rgb="FFC8C8C8"/>
        <bgColor indexed="64"/>
      </patternFill>
    </fill>
    <fill>
      <patternFill patternType="solid">
        <fgColor rgb="FFF0F0F0"/>
        <bgColor indexed="64"/>
      </patternFill>
    </fill>
    <fill>
      <patternFill patternType="solid">
        <fgColor theme="2" tint="-0.249977111117893"/>
        <bgColor indexed="64"/>
      </patternFill>
    </fill>
  </fills>
  <borders count="8">
    <border>
      <left/>
      <right/>
      <top/>
      <bottom/>
      <diagonal/>
    </border>
    <border>
      <left/>
      <right/>
      <top style="thin">
        <color indexed="64"/>
      </top>
      <bottom style="medium">
        <color indexed="64"/>
      </bottom>
      <diagonal/>
    </border>
    <border>
      <left/>
      <right/>
      <top style="medium">
        <color indexed="64"/>
      </top>
      <bottom style="double">
        <color indexed="64"/>
      </bottom>
      <diagonal/>
    </border>
    <border>
      <left/>
      <right/>
      <top/>
      <bottom style="medium">
        <color indexed="64"/>
      </bottom>
      <diagonal/>
    </border>
    <border>
      <left/>
      <right/>
      <top style="thin">
        <color indexed="64"/>
      </top>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54">
    <xf numFmtId="0" fontId="0" fillId="0" borderId="0" xfId="0"/>
    <xf numFmtId="0" fontId="2" fillId="0" borderId="3" xfId="0" applyFont="1" applyBorder="1" applyAlignment="1">
      <alignment horizontal="center"/>
    </xf>
    <xf numFmtId="0" fontId="2" fillId="0" borderId="0" xfId="0" applyFont="1" applyAlignment="1">
      <alignment horizontal="center"/>
    </xf>
    <xf numFmtId="0" fontId="2" fillId="0" borderId="1" xfId="0" applyFont="1" applyBorder="1"/>
    <xf numFmtId="0" fontId="0" fillId="0" borderId="1" xfId="0" applyBorder="1"/>
    <xf numFmtId="0" fontId="2" fillId="0" borderId="2" xfId="0" applyFont="1" applyBorder="1"/>
    <xf numFmtId="0" fontId="3" fillId="0" borderId="0" xfId="0" applyFont="1" applyAlignment="1">
      <alignment horizontal="center"/>
    </xf>
    <xf numFmtId="10" fontId="0" fillId="0" borderId="1" xfId="1" applyNumberFormat="1" applyFont="1" applyBorder="1"/>
    <xf numFmtId="2" fontId="0" fillId="0" borderId="1" xfId="0" applyNumberFormat="1" applyBorder="1"/>
    <xf numFmtId="2" fontId="0" fillId="0" borderId="0" xfId="0" applyNumberFormat="1"/>
    <xf numFmtId="0" fontId="2" fillId="0" borderId="4" xfId="0" applyFont="1" applyBorder="1"/>
    <xf numFmtId="0" fontId="0" fillId="0" borderId="4" xfId="0" applyBorder="1"/>
    <xf numFmtId="10" fontId="0" fillId="2" borderId="2" xfId="1" applyNumberFormat="1" applyFont="1" applyFill="1" applyBorder="1"/>
    <xf numFmtId="0" fontId="4" fillId="0" borderId="0" xfId="0" applyFont="1"/>
    <xf numFmtId="0" fontId="5" fillId="0" borderId="0" xfId="0" applyFont="1"/>
    <xf numFmtId="0" fontId="5" fillId="0" borderId="5" xfId="0" applyFont="1" applyBorder="1"/>
    <xf numFmtId="0" fontId="5" fillId="0" borderId="6" xfId="0" applyFont="1" applyBorder="1"/>
    <xf numFmtId="0" fontId="4" fillId="3" borderId="0" xfId="0" applyFont="1" applyFill="1"/>
    <xf numFmtId="0" fontId="5" fillId="4" borderId="0" xfId="0" applyFont="1" applyFill="1"/>
    <xf numFmtId="14" fontId="5" fillId="4" borderId="0" xfId="0" applyNumberFormat="1" applyFont="1" applyFill="1"/>
    <xf numFmtId="4" fontId="5" fillId="4" borderId="0" xfId="0" applyNumberFormat="1" applyFont="1" applyFill="1"/>
    <xf numFmtId="0" fontId="5" fillId="4" borderId="0" xfId="0" quotePrefix="1" applyFont="1" applyFill="1"/>
    <xf numFmtId="14" fontId="5" fillId="0" borderId="0" xfId="0" applyNumberFormat="1" applyFont="1"/>
    <xf numFmtId="4" fontId="5" fillId="0" borderId="0" xfId="0" applyNumberFormat="1" applyFont="1"/>
    <xf numFmtId="0" fontId="5" fillId="0" borderId="0" xfId="0" quotePrefix="1" applyFont="1"/>
    <xf numFmtId="0" fontId="6" fillId="4" borderId="0" xfId="0" applyFont="1" applyFill="1"/>
    <xf numFmtId="17" fontId="5" fillId="4" borderId="0" xfId="0" applyNumberFormat="1" applyFont="1" applyFill="1"/>
    <xf numFmtId="17" fontId="5" fillId="0" borderId="0" xfId="0" applyNumberFormat="1" applyFont="1"/>
    <xf numFmtId="10" fontId="5" fillId="4" borderId="0" xfId="0" applyNumberFormat="1" applyFont="1" applyFill="1"/>
    <xf numFmtId="10" fontId="5" fillId="0" borderId="0" xfId="0" applyNumberFormat="1" applyFont="1"/>
    <xf numFmtId="10" fontId="6" fillId="4" borderId="0" xfId="0" applyNumberFormat="1" applyFont="1" applyFill="1"/>
    <xf numFmtId="10" fontId="6" fillId="0" borderId="0" xfId="0" applyNumberFormat="1" applyFont="1"/>
    <xf numFmtId="0" fontId="4" fillId="5" borderId="0" xfId="0" applyFont="1" applyFill="1"/>
    <xf numFmtId="0" fontId="0" fillId="5" borderId="0" xfId="0" applyFill="1"/>
    <xf numFmtId="0" fontId="7" fillId="0" borderId="0" xfId="0" applyFont="1"/>
    <xf numFmtId="0" fontId="8" fillId="0" borderId="0" xfId="0" applyFont="1"/>
    <xf numFmtId="0" fontId="9" fillId="0" borderId="0" xfId="0" quotePrefix="1" applyFont="1" applyAlignment="1">
      <alignment horizontal="left" vertical="center"/>
    </xf>
    <xf numFmtId="0" fontId="2" fillId="0" borderId="5" xfId="0" quotePrefix="1" applyFont="1" applyBorder="1"/>
    <xf numFmtId="0" fontId="10" fillId="0" borderId="7" xfId="0" applyFont="1" applyBorder="1"/>
    <xf numFmtId="0" fontId="10" fillId="0" borderId="7" xfId="0" applyFont="1" applyBorder="1" applyAlignment="1">
      <alignment wrapText="1"/>
    </xf>
    <xf numFmtId="2" fontId="10" fillId="0" borderId="7" xfId="0" applyNumberFormat="1" applyFont="1" applyBorder="1"/>
    <xf numFmtId="2" fontId="10" fillId="0" borderId="7" xfId="0" applyNumberFormat="1" applyFont="1" applyBorder="1" applyAlignment="1">
      <alignment horizontal="right"/>
    </xf>
    <xf numFmtId="0" fontId="10" fillId="2" borderId="7" xfId="0" applyFont="1" applyFill="1" applyBorder="1"/>
    <xf numFmtId="2" fontId="10" fillId="2" borderId="7" xfId="0" applyNumberFormat="1" applyFont="1" applyFill="1" applyBorder="1"/>
    <xf numFmtId="2" fontId="10" fillId="0" borderId="7" xfId="0" quotePrefix="1" applyNumberFormat="1" applyFont="1" applyBorder="1"/>
    <xf numFmtId="0" fontId="10" fillId="0" borderId="7" xfId="0" quotePrefix="1" applyFont="1" applyBorder="1"/>
    <xf numFmtId="0" fontId="11" fillId="0" borderId="0" xfId="2"/>
    <xf numFmtId="0" fontId="0" fillId="0" borderId="0" xfId="0" applyAlignment="1">
      <alignment horizontal="left" vertical="top"/>
    </xf>
    <xf numFmtId="0" fontId="12" fillId="0" borderId="0" xfId="0" applyFont="1"/>
    <xf numFmtId="0" fontId="11" fillId="0" borderId="0" xfId="2"/>
    <xf numFmtId="0" fontId="4" fillId="5" borderId="0" xfId="0" applyFont="1" applyFill="1" applyAlignment="1">
      <alignment horizontal="center" vertical="center" indent="1"/>
    </xf>
    <xf numFmtId="0" fontId="4" fillId="5" borderId="0" xfId="0" applyFont="1" applyFill="1" applyAlignment="1">
      <alignment horizontal="center"/>
    </xf>
    <xf numFmtId="0" fontId="4" fillId="3" borderId="0" xfId="0" applyFont="1" applyFill="1"/>
    <xf numFmtId="0" fontId="4" fillId="0" borderId="0" xfId="0" applyFont="1"/>
  </cellXfs>
  <cellStyles count="3">
    <cellStyle name="Hyperlink" xfId="2" xr:uid="{00000000-000B-0000-0000-000008000000}"/>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59714</xdr:colOff>
      <xdr:row>1</xdr:row>
      <xdr:rowOff>38541</xdr:rowOff>
    </xdr:from>
    <xdr:to>
      <xdr:col>15</xdr:col>
      <xdr:colOff>333375</xdr:colOff>
      <xdr:row>27</xdr:row>
      <xdr:rowOff>134944</xdr:rowOff>
    </xdr:to>
    <xdr:pic>
      <xdr:nvPicPr>
        <xdr:cNvPr id="4" name="Picture 3">
          <a:extLst>
            <a:ext uri="{FF2B5EF4-FFF2-40B4-BE49-F238E27FC236}">
              <a16:creationId xmlns:a16="http://schemas.microsoft.com/office/drawing/2014/main" id="{0BE85575-6B90-6163-CBB9-DB37866F3BDC}"/>
            </a:ext>
          </a:extLst>
        </xdr:cNvPr>
        <xdr:cNvPicPr>
          <a:picLocks noChangeAspect="1"/>
        </xdr:cNvPicPr>
      </xdr:nvPicPr>
      <xdr:blipFill>
        <a:blip xmlns:r="http://schemas.openxmlformats.org/officeDocument/2006/relationships" r:embed="rId1"/>
        <a:stretch>
          <a:fillRect/>
        </a:stretch>
      </xdr:blipFill>
      <xdr:spPr>
        <a:xfrm>
          <a:off x="6703402" y="219516"/>
          <a:ext cx="4807561" cy="4839853"/>
        </a:xfrm>
        <a:prstGeom prst="rect">
          <a:avLst/>
        </a:prstGeom>
      </xdr:spPr>
    </xdr:pic>
    <xdr:clientData/>
  </xdr:twoCellAnchor>
  <xdr:twoCellAnchor>
    <xdr:from>
      <xdr:col>2</xdr:col>
      <xdr:colOff>533400</xdr:colOff>
      <xdr:row>27</xdr:row>
      <xdr:rowOff>161925</xdr:rowOff>
    </xdr:from>
    <xdr:to>
      <xdr:col>13</xdr:col>
      <xdr:colOff>66675</xdr:colOff>
      <xdr:row>58</xdr:row>
      <xdr:rowOff>114300</xdr:rowOff>
    </xdr:to>
    <xdr:sp macro="" textlink="">
      <xdr:nvSpPr>
        <xdr:cNvPr id="5" name="TextBox 1">
          <a:extLst>
            <a:ext uri="{FF2B5EF4-FFF2-40B4-BE49-F238E27FC236}">
              <a16:creationId xmlns:a16="http://schemas.microsoft.com/office/drawing/2014/main" id="{F04EC4B0-37A9-F006-07C2-2672EEB118D1}"/>
            </a:ext>
            <a:ext uri="{147F2762-F138-4A5C-976F-8EAC2B608ADB}">
              <a16:predDERef xmlns:a16="http://schemas.microsoft.com/office/drawing/2014/main" pred="{0BE85575-6B90-6163-CBB9-DB37866F3BDC}"/>
            </a:ext>
          </a:extLst>
        </xdr:cNvPr>
        <xdr:cNvSpPr txBox="1"/>
      </xdr:nvSpPr>
      <xdr:spPr>
        <a:xfrm>
          <a:off x="1752600" y="5048250"/>
          <a:ext cx="7591425" cy="5562600"/>
        </a:xfrm>
        <a:prstGeom prst="rect">
          <a:avLst/>
        </a:prstGeom>
        <a:solidFill>
          <a:schemeClr val="lt1"/>
        </a:solidFill>
        <a:ln w="9525" cmpd="sng">
          <a:solidFill>
            <a:srgbClr val="0070BF"/>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B</a:t>
          </a:r>
          <a:r>
            <a:rPr lang="en-US" sz="1100">
              <a:latin typeface="+mn-lt"/>
              <a:ea typeface="+mn-lt"/>
              <a:cs typeface="+mn-lt"/>
            </a:rPr>
            <a:t>ased on the Financial Statement for the last 5 year, here is some evidence</a:t>
          </a:r>
          <a:r>
            <a:rPr lang="en-US" sz="1100" b="0" i="0" u="none" strike="noStrike">
              <a:solidFill>
                <a:srgbClr val="000000"/>
              </a:solidFill>
              <a:latin typeface="Aptos Narrow" panose="020B0004020202020204" pitchFamily="34" charset="0"/>
            </a:rPr>
            <a:t> supporting the reasons for the market trend:</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1. Sales increase from C$9.75 Billions in 2020 to C$74.74 Billions in the Last Twelve Months, shows it's a 766% increase for over 5 years period. as the revenue surged high, this illustrates the sucessful performance of CATL in leading the global EV battery market.</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2. While net income is soaring from C$1.09 Billions in 2020 to C$12.38 Billions in the Last Twelve Months, however gross margin has been volatile between 2021-LTM 2025, even from 2021 to LTM 2025 is increasing. One of the reason is the growing depreciation and amortization up to 460%, inidcates the nature of the business is capital intensive, in order for CATL achieve it's goal.</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3. From the transaction of Mergers and Acquisitions implies that their strategic focus is to secure their supply chain. CATL has been actively acquiring stakes in upstream supples- especially in lithium mining, specialty chemicals, and new energy materials. With this vertical integration strategy, CATL will be able to control their cost and ensure a stable supply for some important components the battery, this is directly addressing the gross margin pressures are visible in the income statement.</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4. The valuation P/E of 29.5x (LTM) indicates the market still value CATL as a growth company, however this ratio will be tested in the future as margins changes. </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Summary:</a:t>
          </a:r>
        </a:p>
        <a:p>
          <a:pPr marL="0" indent="0" algn="l"/>
          <a:r>
            <a:rPr lang="en-US" sz="1100" b="0" i="0" u="none" strike="noStrike">
              <a:solidFill>
                <a:srgbClr val="000000"/>
              </a:solidFill>
              <a:latin typeface="Aptos Narrow" panose="020B0004020202020204" pitchFamily="34" charset="0"/>
            </a:rPr>
            <a:t>Over the last 5 years, CATL successfully establishing itself as global leader in EV batteries. As the trend is moving from pure volume growth towards strategic depth and operational efficiency, supported by the evidence of the mergers and acquisitions for the past 5 years mainly for materials and supplies, will bring new challenges for CATL to maximize their profitability through cost control from it's vertical integration strategy while navigating an increasingly competitive landscape.</a:t>
          </a:r>
        </a:p>
        <a:p>
          <a:pPr marL="0" indent="0" algn="l"/>
          <a:endParaRPr lang="en-US" sz="1100" b="0" i="0" u="none" strike="noStrike">
            <a:solidFill>
              <a:srgbClr val="000000"/>
            </a:solidFill>
            <a:latin typeface="Aptos Narrow" panose="020B0004020202020204" pitchFamily="34" charset="0"/>
          </a:endParaRP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Reference list:</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FactSet Reserach Systems. (2025). *M&amp;A deal summary: Contemporary Amperex Technology Co., Limited Class A (300750-CN)* [Data set]. FactSet Mergers.</a:t>
          </a:r>
        </a:p>
        <a:p>
          <a:pPr marL="0" indent="0" algn="l"/>
          <a:endParaRPr lang="en-US" sz="11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FactSet Reserach Systems. (2025). *Financial Statements: Contemporary Amperex Technology Co., Limited Class A (300750-CN)* [Data set]. FactSet Fundamentals.</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549104</xdr:colOff>
      <xdr:row>0</xdr:row>
      <xdr:rowOff>128587</xdr:rowOff>
    </xdr:from>
    <xdr:to>
      <xdr:col>15</xdr:col>
      <xdr:colOff>306419</xdr:colOff>
      <xdr:row>27</xdr:row>
      <xdr:rowOff>134967</xdr:rowOff>
    </xdr:to>
    <xdr:pic>
      <xdr:nvPicPr>
        <xdr:cNvPr id="4" name="Picture 3">
          <a:extLst>
            <a:ext uri="{FF2B5EF4-FFF2-40B4-BE49-F238E27FC236}">
              <a16:creationId xmlns:a16="http://schemas.microsoft.com/office/drawing/2014/main" id="{9CE02892-748D-DD48-E56F-1B005A245136}"/>
            </a:ext>
          </a:extLst>
        </xdr:cNvPr>
        <xdr:cNvPicPr>
          <a:picLocks noChangeAspect="1"/>
        </xdr:cNvPicPr>
      </xdr:nvPicPr>
      <xdr:blipFill>
        <a:blip xmlns:r="http://schemas.openxmlformats.org/officeDocument/2006/relationships" r:embed="rId1"/>
        <a:stretch>
          <a:fillRect/>
        </a:stretch>
      </xdr:blipFill>
      <xdr:spPr>
        <a:xfrm>
          <a:off x="6854654" y="128587"/>
          <a:ext cx="4938915" cy="4930805"/>
        </a:xfrm>
        <a:prstGeom prst="rect">
          <a:avLst/>
        </a:prstGeom>
      </xdr:spPr>
    </xdr:pic>
    <xdr:clientData/>
  </xdr:twoCellAnchor>
  <xdr:twoCellAnchor>
    <xdr:from>
      <xdr:col>4</xdr:col>
      <xdr:colOff>559592</xdr:colOff>
      <xdr:row>28</xdr:row>
      <xdr:rowOff>142875</xdr:rowOff>
    </xdr:from>
    <xdr:to>
      <xdr:col>10</xdr:col>
      <xdr:colOff>638175</xdr:colOff>
      <xdr:row>37</xdr:row>
      <xdr:rowOff>109538</xdr:rowOff>
    </xdr:to>
    <xdr:sp macro="" textlink="">
      <xdr:nvSpPr>
        <xdr:cNvPr id="2" name="TextBox 1">
          <a:extLst>
            <a:ext uri="{FF2B5EF4-FFF2-40B4-BE49-F238E27FC236}">
              <a16:creationId xmlns:a16="http://schemas.microsoft.com/office/drawing/2014/main" id="{A84DFB83-A3F2-8CFB-B108-605155C09855}"/>
            </a:ext>
          </a:extLst>
        </xdr:cNvPr>
        <xdr:cNvSpPr txBox="1"/>
      </xdr:nvSpPr>
      <xdr:spPr>
        <a:xfrm>
          <a:off x="3164680" y="5248275"/>
          <a:ext cx="5717383" cy="1595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From 2023 to 2024, Sungrow Power Supply Co., Ltd. demonstrated a strong financial performance, incresing revenue from $13.7B to $14.8B</a:t>
          </a:r>
          <a:r>
            <a:rPr lang="en-CA" sz="1100" baseline="0"/>
            <a:t>, net income from $1.8B to $2.1B, and expanding its net margin from 13.1% to 14.2%. Asset turnover decreased lightly (1.00 to .78), which caused ROE to decline from 40.92% to 34.16%. While inventory turnover decreased from 2.5 to 2.15 and Days Sales Outstanding grew from 116.9 to 148.5, efficiency indicators marginally declined. However, liquidity improved as current ratio jumped from 1.51 to 1.58. With almost a 158% YTD increase compared to the S&amp;P 500, CATL has outpaced the overall market despite these operational changes, demonstrating strong investor confidence and momentum.</a:t>
          </a:r>
          <a:endParaRPr lang="en-CA"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471487</xdr:colOff>
      <xdr:row>1</xdr:row>
      <xdr:rowOff>114301</xdr:rowOff>
    </xdr:from>
    <xdr:to>
      <xdr:col>16</xdr:col>
      <xdr:colOff>133350</xdr:colOff>
      <xdr:row>25</xdr:row>
      <xdr:rowOff>157545</xdr:rowOff>
    </xdr:to>
    <xdr:pic>
      <xdr:nvPicPr>
        <xdr:cNvPr id="4" name="Picture 3">
          <a:extLst>
            <a:ext uri="{FF2B5EF4-FFF2-40B4-BE49-F238E27FC236}">
              <a16:creationId xmlns:a16="http://schemas.microsoft.com/office/drawing/2014/main" id="{8E8F780C-0C32-B534-79F0-3818BCB26B33}"/>
            </a:ext>
          </a:extLst>
        </xdr:cNvPr>
        <xdr:cNvPicPr>
          <a:picLocks noChangeAspect="1"/>
        </xdr:cNvPicPr>
      </xdr:nvPicPr>
      <xdr:blipFill>
        <a:blip xmlns:r="http://schemas.openxmlformats.org/officeDocument/2006/relationships" r:embed="rId1"/>
        <a:stretch>
          <a:fillRect/>
        </a:stretch>
      </xdr:blipFill>
      <xdr:spPr>
        <a:xfrm>
          <a:off x="7886700" y="295276"/>
          <a:ext cx="4843463" cy="4424744"/>
        </a:xfrm>
        <a:prstGeom prst="rect">
          <a:avLst/>
        </a:prstGeom>
      </xdr:spPr>
    </xdr:pic>
    <xdr:clientData/>
  </xdr:twoCellAnchor>
  <xdr:twoCellAnchor>
    <xdr:from>
      <xdr:col>3</xdr:col>
      <xdr:colOff>73818</xdr:colOff>
      <xdr:row>30</xdr:row>
      <xdr:rowOff>104774</xdr:rowOff>
    </xdr:from>
    <xdr:to>
      <xdr:col>7</xdr:col>
      <xdr:colOff>390525</xdr:colOff>
      <xdr:row>41</xdr:row>
      <xdr:rowOff>66675</xdr:rowOff>
    </xdr:to>
    <xdr:sp macro="" textlink="">
      <xdr:nvSpPr>
        <xdr:cNvPr id="27" name="TextBox 1">
          <a:extLst>
            <a:ext uri="{FF2B5EF4-FFF2-40B4-BE49-F238E27FC236}">
              <a16:creationId xmlns:a16="http://schemas.microsoft.com/office/drawing/2014/main" id="{1B249829-33AD-CADD-A6BD-76ED299F2C3A}"/>
            </a:ext>
          </a:extLst>
        </xdr:cNvPr>
        <xdr:cNvSpPr txBox="1"/>
      </xdr:nvSpPr>
      <xdr:spPr>
        <a:xfrm>
          <a:off x="2016918" y="5572124"/>
          <a:ext cx="5141120" cy="1952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From</a:t>
          </a:r>
          <a:r>
            <a:rPr lang="en-CA" sz="1100" baseline="0"/>
            <a:t> 2023 to 2024, Fluence Energy, Inc. experienced a significant turnaround, increasing its net margin from -3.14% to 0.84% and going from a net loss of -$93M to a net gain of $30.9M. As an asset turnover climbed from 1.42 to 2.05 and ROE  fluctuated from -16.43% to 5.23%, operational efficiency improved thanks to a lower equity multiplier as leverage increased (1.98 to 2.74). The current ratio dropped to 1.33, indicating a slight weakening of liquidity. Revenue/employee also decreased and DSO rose from 62 to 81 days. The stock has underperfomed the market despite improving fundementals, 19.3% in the last year compared to the S&amp;P500's 13% rise. This is indicative of investors' continued concerns about risk and profitability consistency.</a:t>
          </a:r>
          <a:endParaRPr lang="en-CA"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10781</xdr:colOff>
      <xdr:row>1</xdr:row>
      <xdr:rowOff>109538</xdr:rowOff>
    </xdr:from>
    <xdr:to>
      <xdr:col>15</xdr:col>
      <xdr:colOff>347662</xdr:colOff>
      <xdr:row>28</xdr:row>
      <xdr:rowOff>163249</xdr:rowOff>
    </xdr:to>
    <xdr:pic>
      <xdr:nvPicPr>
        <xdr:cNvPr id="6" name="Picture 5">
          <a:extLst>
            <a:ext uri="{FF2B5EF4-FFF2-40B4-BE49-F238E27FC236}">
              <a16:creationId xmlns:a16="http://schemas.microsoft.com/office/drawing/2014/main" id="{2EFD2845-48B0-EBFD-B0A4-35A0D78463FA}"/>
            </a:ext>
          </a:extLst>
        </xdr:cNvPr>
        <xdr:cNvPicPr>
          <a:picLocks noChangeAspect="1"/>
        </xdr:cNvPicPr>
      </xdr:nvPicPr>
      <xdr:blipFill>
        <a:blip xmlns:r="http://schemas.openxmlformats.org/officeDocument/2006/relationships" r:embed="rId1"/>
        <a:stretch>
          <a:fillRect/>
        </a:stretch>
      </xdr:blipFill>
      <xdr:spPr>
        <a:xfrm>
          <a:off x="7006894" y="290513"/>
          <a:ext cx="4870781" cy="4978136"/>
        </a:xfrm>
        <a:prstGeom prst="rect">
          <a:avLst/>
        </a:prstGeom>
      </xdr:spPr>
    </xdr:pic>
    <xdr:clientData/>
  </xdr:twoCellAnchor>
  <xdr:twoCellAnchor>
    <xdr:from>
      <xdr:col>3</xdr:col>
      <xdr:colOff>416718</xdr:colOff>
      <xdr:row>29</xdr:row>
      <xdr:rowOff>138111</xdr:rowOff>
    </xdr:from>
    <xdr:to>
      <xdr:col>9</xdr:col>
      <xdr:colOff>357187</xdr:colOff>
      <xdr:row>40</xdr:row>
      <xdr:rowOff>171449</xdr:rowOff>
    </xdr:to>
    <xdr:sp macro="" textlink="">
      <xdr:nvSpPr>
        <xdr:cNvPr id="2" name="TextBox 1">
          <a:extLst>
            <a:ext uri="{FF2B5EF4-FFF2-40B4-BE49-F238E27FC236}">
              <a16:creationId xmlns:a16="http://schemas.microsoft.com/office/drawing/2014/main" id="{736BC53D-ED63-F57E-A390-34D38FB2D0F8}"/>
            </a:ext>
          </a:extLst>
        </xdr:cNvPr>
        <xdr:cNvSpPr txBox="1"/>
      </xdr:nvSpPr>
      <xdr:spPr>
        <a:xfrm>
          <a:off x="2359818" y="5424486"/>
          <a:ext cx="5641182" cy="2024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From 2023 to 2024, EVE Energy Co.,</a:t>
          </a:r>
          <a:r>
            <a:rPr lang="en-CA" sz="1100" baseline="0"/>
            <a:t> Ltd. performs steadily but modestly with revenue practically staying the same ($9.29B to $9.25B) and net income being consistent at $776M, maintaining a net margin of about 8.3%. While the equity multiplier stays around 2.7 and debt-to-equity (1.60 to 1.57) stayed steady, suggesting controlled leverage, efficiency marginally deteriorated as asset turnover decreased from 0.55 to 0.49, resulting in a drop in ROE (12.46% to 11.19%). While working-capital indicators declined, operating margin increased from 5.49% to 6.49%: Revenue per employee decreased , DSO went up by 18 days, and the current ratio stayed below 1. The stock has produced tremendous gains despite operational stagnation, up 78.68% YTD and 57.03% over a year, significantly outperforming the S&amp;P 500, indicating positive market sentiment fueled by long-term demand expectations.</a:t>
          </a:r>
          <a:endParaRPr lang="en-CA"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55</xdr:row>
      <xdr:rowOff>0</xdr:rowOff>
    </xdr:from>
    <xdr:to>
      <xdr:col>11</xdr:col>
      <xdr:colOff>852488</xdr:colOff>
      <xdr:row>94</xdr:row>
      <xdr:rowOff>114300</xdr:rowOff>
    </xdr:to>
    <xdr:pic>
      <xdr:nvPicPr>
        <xdr:cNvPr id="4" name="Picture 1">
          <a:extLst>
            <a:ext uri="{FF2B5EF4-FFF2-40B4-BE49-F238E27FC236}">
              <a16:creationId xmlns:a16="http://schemas.microsoft.com/office/drawing/2014/main" id="{C76C2EF0-EC8D-1B8F-EC59-613D4DCAF116}"/>
            </a:ext>
          </a:extLst>
        </xdr:cNvPr>
        <xdr:cNvPicPr>
          <a:picLocks noChangeAspect="1"/>
        </xdr:cNvPicPr>
      </xdr:nvPicPr>
      <xdr:blipFill>
        <a:blip xmlns:r="http://schemas.openxmlformats.org/officeDocument/2006/relationships" r:embed="rId1"/>
        <a:stretch>
          <a:fillRect/>
        </a:stretch>
      </xdr:blipFill>
      <xdr:spPr>
        <a:xfrm>
          <a:off x="0" y="10477500"/>
          <a:ext cx="10744200" cy="7934325"/>
        </a:xfrm>
        <a:prstGeom prst="rect">
          <a:avLst/>
        </a:prstGeom>
      </xdr:spPr>
    </xdr:pic>
    <xdr:clientData/>
  </xdr:twoCellAnchor>
  <xdr:twoCellAnchor>
    <xdr:from>
      <xdr:col>0</xdr:col>
      <xdr:colOff>19050</xdr:colOff>
      <xdr:row>104</xdr:row>
      <xdr:rowOff>66675</xdr:rowOff>
    </xdr:from>
    <xdr:to>
      <xdr:col>13</xdr:col>
      <xdr:colOff>180975</xdr:colOff>
      <xdr:row>122</xdr:row>
      <xdr:rowOff>142875</xdr:rowOff>
    </xdr:to>
    <xdr:sp macro="" textlink="">
      <xdr:nvSpPr>
        <xdr:cNvPr id="3" name="TextBox 4">
          <a:extLst>
            <a:ext uri="{FF2B5EF4-FFF2-40B4-BE49-F238E27FC236}">
              <a16:creationId xmlns:a16="http://schemas.microsoft.com/office/drawing/2014/main" id="{76ABD1C6-38D5-1DFA-16F2-87ED3C0E0376}"/>
            </a:ext>
            <a:ext uri="{147F2762-F138-4A5C-976F-8EAC2B608ADB}">
              <a16:predDERef xmlns:a16="http://schemas.microsoft.com/office/drawing/2014/main" pred="{C76C2EF0-EC8D-1B8F-EC59-613D4DCAF116}"/>
            </a:ext>
          </a:extLst>
        </xdr:cNvPr>
        <xdr:cNvSpPr txBox="1"/>
      </xdr:nvSpPr>
      <xdr:spPr>
        <a:xfrm>
          <a:off x="19050" y="18888075"/>
          <a:ext cx="11772900" cy="33337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Comments based on Table:</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a:latin typeface="+mn-lt"/>
              <a:ea typeface="+mn-lt"/>
              <a:cs typeface="+mn-lt"/>
            </a:rPr>
            <a:t>Contemporary Amperex (CATL) taking the lead position in the industry</a:t>
          </a:r>
          <a:r>
            <a:rPr lang="en-US" sz="1100" b="0" i="0" u="none" strike="noStrike">
              <a:solidFill>
                <a:srgbClr val="000000"/>
              </a:solidFill>
              <a:latin typeface="Aptos Narrow" panose="020B0004020202020204" pitchFamily="34" charset="0"/>
            </a:rPr>
            <a:t>, with it's market capitalization reaching C$378.0 Billion, and maximum gap of 98.87% within the peers. Some Key observations such as Scale &amp; Profitability; Valuation; Profitability vs. Margin; Performance &amp; Risk explained as below:</a:t>
          </a:r>
        </a:p>
        <a:p>
          <a:pPr marL="0" indent="0" algn="l"/>
          <a:r>
            <a:rPr lang="en-US" sz="1100" b="0" i="0" u="none" strike="noStrike">
              <a:solidFill>
                <a:srgbClr val="000000"/>
              </a:solidFill>
              <a:latin typeface="Aptos Narrow" panose="020B0004020202020204" pitchFamily="34" charset="0"/>
            </a:rPr>
            <a:t>- </a:t>
          </a:r>
          <a:r>
            <a:rPr lang="en-US" sz="1100" b="1" i="0" u="none" strike="noStrike">
              <a:solidFill>
                <a:srgbClr val="000000"/>
              </a:solidFill>
              <a:latin typeface="Aptos Narrow" panose="020B0004020202020204" pitchFamily="34" charset="0"/>
            </a:rPr>
            <a:t>Scale &amp; Profitability: </a:t>
          </a:r>
          <a:r>
            <a:rPr lang="en-US" sz="1100" b="0" i="0" u="none" strike="noStrike">
              <a:solidFill>
                <a:srgbClr val="000000"/>
              </a:solidFill>
              <a:latin typeface="Aptos Narrow" panose="020B0004020202020204" pitchFamily="34" charset="0"/>
            </a:rPr>
            <a:t>Contemporary Amperex generates revenue 4-6x larger than the other companies. CATL also leading the EBIT at C$10.0 Billion, reflects that Contemporary Amperex is able to monotize its scale effectively.</a:t>
          </a:r>
        </a:p>
        <a:p>
          <a:pPr marL="0" indent="0" algn="l"/>
          <a:r>
            <a:rPr lang="en-US" sz="1100" b="0" i="0" u="none" strike="noStrike">
              <a:solidFill>
                <a:srgbClr val="000000"/>
              </a:solidFill>
              <a:latin typeface="Aptos Narrow" panose="020B0004020202020204" pitchFamily="34" charset="0"/>
            </a:rPr>
            <a:t>- </a:t>
          </a:r>
          <a:r>
            <a:rPr lang="en-US" sz="1100" b="1" i="0" u="none" strike="noStrike">
              <a:solidFill>
                <a:srgbClr val="000000"/>
              </a:solidFill>
              <a:latin typeface="Aptos Narrow" panose="020B0004020202020204" pitchFamily="34" charset="0"/>
            </a:rPr>
            <a:t>Valuation :</a:t>
          </a:r>
          <a:r>
            <a:rPr lang="en-US" sz="1100" b="0" i="0" u="none" strike="noStrike">
              <a:solidFill>
                <a:srgbClr val="000000"/>
              </a:solidFill>
              <a:latin typeface="Aptos Narrow" panose="020B0004020202020204" pitchFamily="34" charset="0"/>
            </a:rPr>
            <a:t> with EV/ EBIT of 34.07x, it is considered that Contemporary Amperex is highly valued within the market in the industries. Even though EVE energy has higher EV/ EBIT of 64.75x, however, looking at the individual component of the EV and EBIT from both companies, the "Enterprise Value" of Contemporary Amperex is 8.9 times bigger with EBIT 16.92 times bigger than EVE Energy. Thus this means the market believes EVE's small profit today will become much larger in the future, while with Contemporary Amperex due to it achievment at the top of the market, it is harder for Contemporary to massively double their profit compared to the smaller company like EVE Energy.</a:t>
          </a:r>
        </a:p>
        <a:p>
          <a:pPr marL="0" indent="0" algn="l"/>
          <a:r>
            <a:rPr lang="en-US" sz="1100" b="0" i="0" u="none" strike="noStrike">
              <a:solidFill>
                <a:srgbClr val="000000"/>
              </a:solidFill>
              <a:latin typeface="Aptos Narrow" panose="020B0004020202020204" pitchFamily="34" charset="0"/>
            </a:rPr>
            <a:t>- </a:t>
          </a:r>
          <a:r>
            <a:rPr lang="en-US" sz="1100" b="1" i="0" u="none" strike="noStrike">
              <a:solidFill>
                <a:srgbClr val="000000"/>
              </a:solidFill>
              <a:latin typeface="Aptos Narrow" panose="020B0004020202020204" pitchFamily="34" charset="0"/>
            </a:rPr>
            <a:t>Profitability vs. margin : </a:t>
          </a:r>
          <a:r>
            <a:rPr lang="en-US" sz="1100" b="0" i="0" u="none" strike="noStrike">
              <a:solidFill>
                <a:srgbClr val="000000"/>
              </a:solidFill>
              <a:latin typeface="Aptos Narrow" panose="020B0004020202020204" pitchFamily="34" charset="0"/>
            </a:rPr>
            <a:t>Based on the different business model that each company adapt, CATL adept less aggresive margin approach compared to one of it's competitors, Sungrow. however at the end the difference reflected on the net margin is 0.2%. After looking through their income statement, one of the contributing factors for CATL's lower gross margin compared to Sungrow's  is due to it's higher D&amp;A (Depreciation and Amortization) of it's cost of goods sold compared to their sales. with CATL's D&amp;A of sales ~6.4% and Sungrow's D&amp;A of sales ~0.9%. Thus this would affect the margin reported.</a:t>
          </a:r>
        </a:p>
        <a:p>
          <a:pPr marL="0" indent="0" algn="l"/>
          <a:r>
            <a:rPr lang="en-US" sz="1100" b="0" i="0" u="none" strike="noStrike">
              <a:solidFill>
                <a:srgbClr val="000000"/>
              </a:solidFill>
              <a:latin typeface="Aptos Narrow" panose="020B0004020202020204" pitchFamily="34" charset="0"/>
            </a:rPr>
            <a:t>- </a:t>
          </a:r>
          <a:r>
            <a:rPr lang="en-US" sz="1100" b="1" i="0" u="none" strike="noStrike">
              <a:solidFill>
                <a:srgbClr val="000000"/>
              </a:solidFill>
              <a:latin typeface="Aptos Narrow" panose="020B0004020202020204" pitchFamily="34" charset="0"/>
            </a:rPr>
            <a:t>Performance &amp; Risk :</a:t>
          </a:r>
          <a:r>
            <a:rPr lang="en-US" sz="1100" b="0" i="0" u="none" strike="noStrike">
              <a:solidFill>
                <a:srgbClr val="000000"/>
              </a:solidFill>
              <a:latin typeface="Aptos Narrow" panose="020B0004020202020204" pitchFamily="34" charset="0"/>
            </a:rPr>
            <a:t> Looking from the trend, CATL has more steady growth compared to Sungrow, this also reflected from the comparison performance data that recorded. For over 5 years the price changes in Sungrow has a rapid growth up to 466.27% compared to CATL which is 193.11%. This indicates Sungrow is the top performer in the comparable market also reflected in how the margin outcomes and niche business model in specialized soal inverters making it generate more money in each sales even it's total market is smaller compared to CATL which targeted big automakers. (J.Li, personal communication, November 14, 2024). while from the comparison of the Beta, CATL has the lowest beta, means it's a lower risk investment compared to the other peers, which also means the performance is pretty steady with less aggresive changes. For Sungrow, it has slightly higher Beta, but only by 0.01 making it the most company in the comparable market with the highest growth, and moderate risk. while the high Beta reflected on Fluence and EVE means they offer higher potential return but also having a greater risk and price swings.</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590549</xdr:colOff>
      <xdr:row>0</xdr:row>
      <xdr:rowOff>-1</xdr:rowOff>
    </xdr:from>
    <xdr:ext cx="6562725" cy="2675732"/>
    <xdr:sp macro="" textlink="">
      <xdr:nvSpPr>
        <xdr:cNvPr id="4" name="TextBox 1">
          <a:extLst>
            <a:ext uri="{FF2B5EF4-FFF2-40B4-BE49-F238E27FC236}">
              <a16:creationId xmlns:a16="http://schemas.microsoft.com/office/drawing/2014/main" id="{19022F48-2589-E9D1-5DEB-056EFBC502B5}"/>
            </a:ext>
          </a:extLst>
        </xdr:cNvPr>
        <xdr:cNvSpPr txBox="1"/>
      </xdr:nvSpPr>
      <xdr:spPr>
        <a:xfrm>
          <a:off x="590549" y="-1"/>
          <a:ext cx="6562725" cy="2675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b="0" i="0" u="none" strike="noStrike">
              <a:solidFill>
                <a:schemeClr val="tx1"/>
              </a:solidFill>
              <a:effectLst/>
              <a:latin typeface="+mn-lt"/>
              <a:ea typeface="+mn-ea"/>
              <a:cs typeface="+mn-cs"/>
            </a:rPr>
            <a:t>Based on the analytics and data we have collected, it is optimal to hold the CATL stock. Although CATL holds a strong position in the industry and has shown improvement in profitability, it faces valuation pressure, margin volatility, and slight outperformance by competitors, making it neither a buy nor a sell. Firstly, the DuPont trends show a slight decline in ROE (24.36% to 22.83%) because they are using their assets less efficiently and leveraging less. CATL's current ratio (1.57 to 1.61) shows stable growth, and its debt-to-equity ratio (2.41 to 1.99), although still high, is manageable given its capital-intensive industry. Furthermore, the revenue per employee dropped from $657.05M to $519.14M meaning CATL is rapidly increasing its workforce, and productivity per worker is going down. However, in this case, it just shows that they are in their expansion phase and efficiency will lag behind before picking back up, so it is critical to hold the stock. Also, the P/E ratio is 29.47x, which is the median compared to its competitors- this shows that the stock is neither undervalued nor overvalued, so we should just hold. And when we compare the company's price change (%) and total return(%), it is only outperformed by Sungrow. Other than that, CATL still leads the industry in: revenue scale (4-6x); vertical integration into lithium, chemicals, and specialty materials; lowest beta (lowest risk stock in the group); and largest EBIT. Overall, CATL still maintains a substantial competitive advantage and stable profitability, making holding the most prudent move until efficiency and valuation metrics present a more</a:t>
          </a:r>
          <a:r>
            <a:rPr lang="en-CA" sz="1100" b="0" i="0" u="none" strike="noStrike" baseline="0">
              <a:solidFill>
                <a:schemeClr val="tx1"/>
              </a:solidFill>
              <a:effectLst/>
              <a:latin typeface="+mn-lt"/>
              <a:ea typeface="+mn-ea"/>
              <a:cs typeface="+mn-cs"/>
            </a:rPr>
            <a:t> apparent</a:t>
          </a:r>
          <a:r>
            <a:rPr lang="en-CA" sz="1100" b="0" i="0" u="none" strike="noStrike">
              <a:solidFill>
                <a:schemeClr val="tx1"/>
              </a:solidFill>
              <a:effectLst/>
              <a:latin typeface="+mn-lt"/>
              <a:ea typeface="+mn-ea"/>
              <a:cs typeface="+mn-cs"/>
            </a:rPr>
            <a:t> upside.</a:t>
          </a:r>
          <a:endParaRPr lang="en-CA"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E3B4-501E-4B84-8EFF-5A118FB09EEF}">
  <dimension ref="E3:G25"/>
  <sheetViews>
    <sheetView tabSelected="1" topLeftCell="C1" workbookViewId="0">
      <selection activeCell="O47" sqref="O47"/>
    </sheetView>
  </sheetViews>
  <sheetFormatPr defaultRowHeight="14.25"/>
  <cols>
    <col min="5" max="5" width="21" customWidth="1"/>
    <col min="6" max="6" width="12.73046875" customWidth="1"/>
    <col min="7" max="7" width="14" customWidth="1"/>
  </cols>
  <sheetData>
    <row r="3" spans="5:7">
      <c r="F3" t="s">
        <v>0</v>
      </c>
    </row>
    <row r="4" spans="5:7" ht="14.65" thickBot="1">
      <c r="F4" s="1" t="s">
        <v>1</v>
      </c>
      <c r="G4" s="1"/>
    </row>
    <row r="5" spans="5:7">
      <c r="E5" s="2" t="s">
        <v>2</v>
      </c>
      <c r="F5" s="6" t="s">
        <v>3</v>
      </c>
      <c r="G5" s="6" t="s">
        <v>4</v>
      </c>
    </row>
    <row r="6" spans="5:7">
      <c r="E6" t="s">
        <v>5</v>
      </c>
      <c r="F6">
        <v>8405.0300000000007</v>
      </c>
      <c r="G6">
        <v>9659.58</v>
      </c>
    </row>
    <row r="7" spans="5:7">
      <c r="E7" t="s">
        <v>6</v>
      </c>
      <c r="F7">
        <v>76253.259999999995</v>
      </c>
      <c r="G7">
        <v>68519.83</v>
      </c>
    </row>
    <row r="8" spans="5:7" ht="14.65" thickBot="1">
      <c r="E8" s="3" t="s">
        <v>7</v>
      </c>
      <c r="F8" s="7">
        <f>F6/F7</f>
        <v>0.11022518906076935</v>
      </c>
      <c r="G8" s="7">
        <f>G6/G7</f>
        <v>0.14097495571719895</v>
      </c>
    </row>
    <row r="9" spans="5:7">
      <c r="E9" t="s">
        <v>6</v>
      </c>
      <c r="F9">
        <v>76253.259999999995</v>
      </c>
      <c r="G9">
        <v>68519.83</v>
      </c>
    </row>
    <row r="10" spans="5:7">
      <c r="E10" t="s">
        <v>8</v>
      </c>
      <c r="F10">
        <f>(117131.11+133337.73)/2</f>
        <v>125234.42000000001</v>
      </c>
      <c r="G10">
        <f>(154998.35+133337.73)/2</f>
        <v>144168.04</v>
      </c>
    </row>
    <row r="11" spans="5:7" ht="14.65" thickBot="1">
      <c r="E11" s="3" t="s">
        <v>9</v>
      </c>
      <c r="F11" s="8">
        <f>F9/F10</f>
        <v>0.60888420292120959</v>
      </c>
      <c r="G11" s="8">
        <f>G9/G10</f>
        <v>0.47527753030421999</v>
      </c>
    </row>
    <row r="12" spans="5:7">
      <c r="E12" t="s">
        <v>8</v>
      </c>
      <c r="F12">
        <f>(117131.11+133337.73)/2</f>
        <v>125234.42000000001</v>
      </c>
      <c r="G12">
        <f>(154998.35+133337.73)/2</f>
        <v>144168.04</v>
      </c>
    </row>
    <row r="13" spans="5:7">
      <c r="E13" t="s">
        <v>10</v>
      </c>
      <c r="F13" s="9">
        <v>34503.410000000003</v>
      </c>
      <c r="G13" s="9">
        <v>42310.91</v>
      </c>
    </row>
    <row r="14" spans="5:7" ht="14.65" thickBot="1">
      <c r="E14" s="3" t="s">
        <v>11</v>
      </c>
      <c r="F14" s="8">
        <f>F12/F13</f>
        <v>3.6296244342225883</v>
      </c>
      <c r="G14" s="8">
        <f>G12/G13</f>
        <v>3.4073490737968055</v>
      </c>
    </row>
    <row r="15" spans="5:7" ht="14.65" thickBot="1">
      <c r="E15" s="5" t="s">
        <v>12</v>
      </c>
      <c r="F15" s="12">
        <f>F8*F11*F14</f>
        <v>0.24359998040773359</v>
      </c>
      <c r="G15" s="12">
        <f>G8*G11*G14</f>
        <v>0.22829998220317171</v>
      </c>
    </row>
    <row r="16" spans="5:7" ht="14.65" thickTop="1">
      <c r="E16" t="s">
        <v>13</v>
      </c>
      <c r="F16">
        <v>88468.64</v>
      </c>
      <c r="G16">
        <v>96775.360000000001</v>
      </c>
    </row>
    <row r="17" spans="5:7">
      <c r="E17" t="s">
        <v>14</v>
      </c>
      <c r="F17">
        <v>36758.39</v>
      </c>
      <c r="G17" s="9">
        <v>48653.599999999999</v>
      </c>
    </row>
    <row r="18" spans="5:7" ht="14.65" thickBot="1">
      <c r="E18" s="3" t="s">
        <v>15</v>
      </c>
      <c r="F18" s="8">
        <f>F16/F17</f>
        <v>2.4067604701946959</v>
      </c>
      <c r="G18" s="8">
        <f>G16/G17</f>
        <v>1.9890688458819081</v>
      </c>
    </row>
    <row r="19" spans="5:7">
      <c r="E19" t="s">
        <v>6</v>
      </c>
      <c r="F19">
        <v>76253.259999999995</v>
      </c>
      <c r="G19">
        <v>68519.83</v>
      </c>
    </row>
    <row r="20" spans="5:7">
      <c r="E20" t="s">
        <v>16</v>
      </c>
      <c r="F20" s="9">
        <f>F19/F21</f>
        <v>116.05396849554829</v>
      </c>
      <c r="G20" s="9">
        <f>G19/G21</f>
        <v>131.98719035327659</v>
      </c>
    </row>
    <row r="21" spans="5:7">
      <c r="E21" s="10" t="s">
        <v>17</v>
      </c>
      <c r="F21" s="11">
        <v>657.05</v>
      </c>
      <c r="G21" s="11">
        <v>519.14</v>
      </c>
    </row>
    <row r="22" spans="5:7">
      <c r="E22" s="10" t="s">
        <v>18</v>
      </c>
      <c r="F22" s="11">
        <v>106.26</v>
      </c>
      <c r="G22" s="11">
        <v>132.04</v>
      </c>
    </row>
    <row r="23" spans="5:7">
      <c r="E23" s="10" t="s">
        <v>19</v>
      </c>
      <c r="F23" s="11">
        <v>5.0999999999999996</v>
      </c>
      <c r="G23" s="11">
        <v>5.18</v>
      </c>
    </row>
    <row r="24" spans="5:7">
      <c r="E24" s="10" t="s">
        <v>20</v>
      </c>
      <c r="F24" s="11">
        <v>10.93</v>
      </c>
      <c r="G24" s="11">
        <v>14.03</v>
      </c>
    </row>
    <row r="25" spans="5:7" ht="14.65" thickBot="1">
      <c r="E25" s="3" t="s">
        <v>21</v>
      </c>
      <c r="F25" s="4">
        <v>1.57</v>
      </c>
      <c r="G25" s="4">
        <v>1.61</v>
      </c>
    </row>
  </sheetData>
  <mergeCells count="1">
    <mergeCell ref="F4:G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74EE8-6E23-48C2-8D9B-D2275F3A20D5}">
  <dimension ref="C2:G25"/>
  <sheetViews>
    <sheetView topLeftCell="C1" workbookViewId="0">
      <selection activeCell="N34" sqref="N34"/>
    </sheetView>
  </sheetViews>
  <sheetFormatPr defaultRowHeight="14.25"/>
  <cols>
    <col min="3" max="3" width="9.265625" bestFit="1" customWidth="1"/>
    <col min="5" max="5" width="21.1328125" customWidth="1"/>
    <col min="6" max="6" width="13.86328125" customWidth="1"/>
    <col min="7" max="7" width="16.73046875" customWidth="1"/>
  </cols>
  <sheetData>
    <row r="2" spans="3:7">
      <c r="F2" t="s">
        <v>0</v>
      </c>
    </row>
    <row r="4" spans="3:7" ht="14.65" thickBot="1">
      <c r="F4" s="1" t="s">
        <v>22</v>
      </c>
      <c r="G4" s="1"/>
    </row>
    <row r="5" spans="3:7">
      <c r="E5" s="2" t="s">
        <v>2</v>
      </c>
      <c r="F5" s="6" t="s">
        <v>3</v>
      </c>
      <c r="G5" s="6" t="s">
        <v>4</v>
      </c>
    </row>
    <row r="6" spans="3:7">
      <c r="E6" t="s">
        <v>5</v>
      </c>
      <c r="F6">
        <v>1798.22</v>
      </c>
      <c r="G6">
        <v>2100.83</v>
      </c>
    </row>
    <row r="7" spans="3:7">
      <c r="E7" t="s">
        <v>6</v>
      </c>
      <c r="F7">
        <v>13723.76</v>
      </c>
      <c r="G7">
        <v>14771.58</v>
      </c>
    </row>
    <row r="8" spans="3:7" ht="14.65" thickBot="1">
      <c r="E8" s="3" t="s">
        <v>7</v>
      </c>
      <c r="F8" s="7">
        <f>F6/F7</f>
        <v>0.13102968865675296</v>
      </c>
      <c r="G8" s="7">
        <f>G6/G7</f>
        <v>0.14222107587678501</v>
      </c>
    </row>
    <row r="9" spans="3:7">
      <c r="E9" t="s">
        <v>6</v>
      </c>
      <c r="F9">
        <f>F7</f>
        <v>13723.76</v>
      </c>
      <c r="G9">
        <f>G7</f>
        <v>14771.58</v>
      </c>
    </row>
    <row r="10" spans="3:7">
      <c r="E10" t="s">
        <v>8</v>
      </c>
      <c r="F10">
        <f>(12011.75+15408.61)/2</f>
        <v>13710.18</v>
      </c>
      <c r="G10">
        <f>(15408.61+22673.44)/2</f>
        <v>19041.025000000001</v>
      </c>
    </row>
    <row r="11" spans="3:7" ht="14.65" thickBot="1">
      <c r="C11" s="9"/>
      <c r="E11" s="3" t="s">
        <v>9</v>
      </c>
      <c r="F11" s="8">
        <f>F9/F10</f>
        <v>1.0009905048657275</v>
      </c>
      <c r="G11" s="8">
        <f>G9/G10</f>
        <v>0.77577651413198601</v>
      </c>
    </row>
    <row r="12" spans="3:7">
      <c r="E12" t="s">
        <v>8</v>
      </c>
      <c r="F12">
        <f>F10</f>
        <v>13710.18</v>
      </c>
      <c r="G12">
        <f>G10</f>
        <v>19041.025000000001</v>
      </c>
    </row>
    <row r="13" spans="3:7">
      <c r="C13" s="9"/>
      <c r="E13" t="s">
        <v>10</v>
      </c>
      <c r="F13" s="9">
        <v>4394.4799999999996</v>
      </c>
      <c r="G13" s="9">
        <v>6149.97</v>
      </c>
    </row>
    <row r="14" spans="3:7" ht="14.65" thickBot="1">
      <c r="E14" s="3" t="s">
        <v>11</v>
      </c>
      <c r="F14" s="8">
        <f>F12/F13</f>
        <v>3.119864011214069</v>
      </c>
      <c r="G14" s="8">
        <f>G12/G13</f>
        <v>3.0961167290246947</v>
      </c>
    </row>
    <row r="15" spans="3:7" ht="14.65" thickBot="1">
      <c r="C15" s="9"/>
      <c r="E15" s="5" t="s">
        <v>12</v>
      </c>
      <c r="F15" s="12">
        <f>F8*F11*F14</f>
        <v>0.40919972328921739</v>
      </c>
      <c r="G15" s="12">
        <f>G8*G11*G14</f>
        <v>0.34160004032539998</v>
      </c>
    </row>
    <row r="16" spans="3:7" ht="14.65" thickTop="1">
      <c r="E16" t="s">
        <v>13</v>
      </c>
      <c r="F16">
        <v>9900.98</v>
      </c>
      <c r="G16">
        <v>14679.78</v>
      </c>
    </row>
    <row r="17" spans="3:7">
      <c r="C17" s="9"/>
      <c r="E17" t="s">
        <v>14</v>
      </c>
      <c r="F17">
        <v>5151.03</v>
      </c>
      <c r="G17" s="9">
        <v>7271.55</v>
      </c>
    </row>
    <row r="18" spans="3:7" ht="14.65" thickBot="1">
      <c r="E18" s="3" t="s">
        <v>15</v>
      </c>
      <c r="F18" s="8">
        <f>F16/F17</f>
        <v>1.922135961157283</v>
      </c>
      <c r="G18" s="8">
        <f>G16/G17</f>
        <v>2.0187965426903483</v>
      </c>
    </row>
    <row r="19" spans="3:7">
      <c r="E19" t="s">
        <v>6</v>
      </c>
      <c r="F19">
        <f>F7</f>
        <v>13723.76</v>
      </c>
      <c r="G19">
        <f>G7</f>
        <v>14771.58</v>
      </c>
    </row>
    <row r="20" spans="3:7">
      <c r="E20" t="s">
        <v>16</v>
      </c>
      <c r="F20" s="9">
        <f>F19/F21</f>
        <v>13.69705075103548</v>
      </c>
      <c r="G20" s="9">
        <f>G19/G21</f>
        <v>17.30503748828491</v>
      </c>
    </row>
    <row r="21" spans="3:7">
      <c r="E21" s="10" t="s">
        <v>17</v>
      </c>
      <c r="F21" s="11">
        <v>1001.95</v>
      </c>
      <c r="G21" s="11">
        <v>853.6</v>
      </c>
    </row>
    <row r="22" spans="3:7">
      <c r="E22" s="10" t="s">
        <v>18</v>
      </c>
      <c r="F22" s="11">
        <v>116.88</v>
      </c>
      <c r="G22" s="11">
        <v>148.53</v>
      </c>
    </row>
    <row r="23" spans="3:7">
      <c r="E23" s="10" t="s">
        <v>19</v>
      </c>
      <c r="F23" s="11">
        <v>2.5</v>
      </c>
      <c r="G23" s="11">
        <v>2.15</v>
      </c>
    </row>
    <row r="24" spans="3:7">
      <c r="E24" s="10" t="s">
        <v>23</v>
      </c>
      <c r="F24" s="11">
        <v>15.53</v>
      </c>
      <c r="G24" s="11">
        <v>16.760000000000002</v>
      </c>
    </row>
    <row r="25" spans="3:7" ht="14.65" thickBot="1">
      <c r="E25" s="3" t="s">
        <v>21</v>
      </c>
      <c r="F25" s="4">
        <v>1.51</v>
      </c>
      <c r="G25" s="4">
        <v>1.58</v>
      </c>
    </row>
  </sheetData>
  <mergeCells count="1">
    <mergeCell ref="F4:G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A362-D4E5-4337-BD49-D28F3E2BFFD7}">
  <dimension ref="E2:G25"/>
  <sheetViews>
    <sheetView workbookViewId="0">
      <selection activeCell="C30" sqref="C30"/>
    </sheetView>
  </sheetViews>
  <sheetFormatPr defaultRowHeight="14.25"/>
  <cols>
    <col min="5" max="5" width="26" customWidth="1"/>
    <col min="6" max="6" width="17.59765625" customWidth="1"/>
    <col min="7" max="7" width="14.86328125" customWidth="1"/>
  </cols>
  <sheetData>
    <row r="2" spans="5:7">
      <c r="F2" t="s">
        <v>0</v>
      </c>
    </row>
    <row r="4" spans="5:7" ht="14.65" thickBot="1">
      <c r="F4" s="1" t="s">
        <v>24</v>
      </c>
      <c r="G4" s="1"/>
    </row>
    <row r="5" spans="5:7">
      <c r="E5" s="2" t="s">
        <v>2</v>
      </c>
      <c r="F5" s="6" t="s">
        <v>25</v>
      </c>
      <c r="G5" s="6" t="s">
        <v>26</v>
      </c>
    </row>
    <row r="6" spans="5:7">
      <c r="E6" t="s">
        <v>5</v>
      </c>
      <c r="F6">
        <v>-93.89</v>
      </c>
      <c r="G6">
        <v>30.91</v>
      </c>
    </row>
    <row r="7" spans="5:7">
      <c r="E7" t="s">
        <v>6</v>
      </c>
      <c r="F7">
        <v>2991.15</v>
      </c>
      <c r="G7">
        <v>3672.24</v>
      </c>
    </row>
    <row r="8" spans="5:7" ht="14.65" thickBot="1">
      <c r="E8" s="3" t="s">
        <v>7</v>
      </c>
      <c r="F8" s="7">
        <f>F6/F7</f>
        <v>-3.1389264998411978E-2</v>
      </c>
      <c r="G8" s="7">
        <f>G6/G7</f>
        <v>8.4172058471123894E-3</v>
      </c>
    </row>
    <row r="9" spans="5:7">
      <c r="E9" t="s">
        <v>6</v>
      </c>
      <c r="F9">
        <f>F7</f>
        <v>2991.15</v>
      </c>
      <c r="G9">
        <f>G7</f>
        <v>3672.24</v>
      </c>
    </row>
    <row r="10" spans="5:7">
      <c r="E10" t="s">
        <v>8</v>
      </c>
      <c r="F10" s="9">
        <f>(2398.62+1828.11)/2</f>
        <v>2113.3649999999998</v>
      </c>
      <c r="G10">
        <f>(1828.11+1749.55)/2</f>
        <v>1788.83</v>
      </c>
    </row>
    <row r="11" spans="5:7" ht="14.65" thickBot="1">
      <c r="E11" s="3" t="s">
        <v>9</v>
      </c>
      <c r="F11" s="8">
        <f>F9/F10</f>
        <v>1.4153494545428738</v>
      </c>
      <c r="G11" s="8">
        <f>G9/G10</f>
        <v>2.0528725479782874</v>
      </c>
    </row>
    <row r="12" spans="5:7">
      <c r="E12" t="s">
        <v>8</v>
      </c>
      <c r="F12" s="9">
        <f>F10</f>
        <v>2113.3649999999998</v>
      </c>
      <c r="G12">
        <f>G10</f>
        <v>1788.83</v>
      </c>
    </row>
    <row r="13" spans="5:7">
      <c r="E13" t="s">
        <v>10</v>
      </c>
      <c r="F13" s="9">
        <f>(598.85+543.97)/2</f>
        <v>571.41000000000008</v>
      </c>
      <c r="G13" s="9">
        <f>(543.97+637.79)/2</f>
        <v>590.88</v>
      </c>
    </row>
    <row r="14" spans="5:7" ht="14.65" thickBot="1">
      <c r="E14" s="3" t="s">
        <v>11</v>
      </c>
      <c r="F14" s="8">
        <f>F12/F13</f>
        <v>3.6985089515409242</v>
      </c>
      <c r="G14" s="8">
        <f>G12/G13</f>
        <v>3.0273998104522066</v>
      </c>
    </row>
    <row r="15" spans="5:7" ht="14.65" thickBot="1">
      <c r="E15" s="5" t="s">
        <v>12</v>
      </c>
      <c r="F15" s="12">
        <f>F8*F11*F14</f>
        <v>-0.16431284016730538</v>
      </c>
      <c r="G15" s="12">
        <f>G8*G11*G14</f>
        <v>5.2311806119685889E-2</v>
      </c>
    </row>
    <row r="16" spans="5:7" ht="14.65" thickTop="1">
      <c r="E16" t="s">
        <v>13</v>
      </c>
      <c r="F16">
        <v>1075.95</v>
      </c>
      <c r="G16">
        <v>1749.55</v>
      </c>
    </row>
    <row r="17" spans="5:7">
      <c r="E17" t="s">
        <v>14</v>
      </c>
      <c r="F17">
        <v>543.97</v>
      </c>
      <c r="G17" s="9">
        <v>637.79</v>
      </c>
    </row>
    <row r="18" spans="5:7" ht="14.65" thickBot="1">
      <c r="E18" s="3" t="s">
        <v>15</v>
      </c>
      <c r="F18" s="8">
        <f>F16/F17</f>
        <v>1.9779583432909904</v>
      </c>
      <c r="G18" s="8">
        <f>G16/G17</f>
        <v>2.7431442951441696</v>
      </c>
    </row>
    <row r="19" spans="5:7">
      <c r="E19" t="s">
        <v>6</v>
      </c>
      <c r="F19">
        <f>F7</f>
        <v>2991.15</v>
      </c>
      <c r="G19">
        <f>G7</f>
        <v>3672.24</v>
      </c>
    </row>
    <row r="20" spans="5:7">
      <c r="E20" t="s">
        <v>16</v>
      </c>
      <c r="F20" s="9">
        <f>F19/F21</f>
        <v>1.1120012788674587</v>
      </c>
      <c r="G20" s="9">
        <f>G19/G21</f>
        <v>1.5950033444234994</v>
      </c>
    </row>
    <row r="21" spans="5:7">
      <c r="E21" s="10" t="s">
        <v>17</v>
      </c>
      <c r="F21" s="11">
        <v>2689.88</v>
      </c>
      <c r="G21" s="11">
        <v>2302.34</v>
      </c>
    </row>
    <row r="22" spans="5:7">
      <c r="E22" s="10" t="s">
        <v>18</v>
      </c>
      <c r="F22" s="11">
        <v>62.05</v>
      </c>
      <c r="G22" s="11">
        <v>80.63</v>
      </c>
    </row>
    <row r="23" spans="5:7">
      <c r="E23" s="10" t="s">
        <v>19</v>
      </c>
      <c r="F23" s="11">
        <v>3.98</v>
      </c>
      <c r="G23" s="11">
        <v>6.91</v>
      </c>
    </row>
    <row r="24" spans="5:7">
      <c r="E24" s="10" t="s">
        <v>23</v>
      </c>
      <c r="F24" s="11">
        <v>-5.65</v>
      </c>
      <c r="G24" s="11">
        <v>0.99</v>
      </c>
    </row>
    <row r="25" spans="5:7" ht="14.65" thickBot="1">
      <c r="E25" s="3" t="s">
        <v>21</v>
      </c>
      <c r="F25" s="4">
        <v>1.6</v>
      </c>
      <c r="G25" s="4">
        <v>1.33</v>
      </c>
    </row>
  </sheetData>
  <mergeCells count="1">
    <mergeCell ref="F4:G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9EF-7FB4-4605-AF07-EECF86FF90C7}">
  <dimension ref="E3:G25"/>
  <sheetViews>
    <sheetView topLeftCell="A15" workbookViewId="0">
      <selection activeCell="E30" sqref="E30"/>
    </sheetView>
  </sheetViews>
  <sheetFormatPr defaultRowHeight="14.25"/>
  <cols>
    <col min="5" max="5" width="20" customWidth="1"/>
    <col min="6" max="6" width="15.59765625" customWidth="1"/>
    <col min="7" max="7" width="17" customWidth="1"/>
  </cols>
  <sheetData>
    <row r="3" spans="5:7">
      <c r="F3" t="s">
        <v>0</v>
      </c>
    </row>
    <row r="4" spans="5:7" ht="14.65" thickBot="1">
      <c r="F4" s="1" t="s">
        <v>27</v>
      </c>
      <c r="G4" s="1"/>
    </row>
    <row r="5" spans="5:7">
      <c r="E5" s="2" t="s">
        <v>2</v>
      </c>
      <c r="F5" s="6" t="s">
        <v>3</v>
      </c>
      <c r="G5" s="6" t="s">
        <v>4</v>
      </c>
    </row>
    <row r="6" spans="5:7">
      <c r="E6" t="s">
        <v>5</v>
      </c>
      <c r="F6">
        <v>771.55</v>
      </c>
      <c r="G6">
        <v>775.81</v>
      </c>
    </row>
    <row r="7" spans="5:7">
      <c r="E7" t="s">
        <v>6</v>
      </c>
      <c r="F7">
        <v>9286.41</v>
      </c>
      <c r="G7">
        <v>9245.2999999999993</v>
      </c>
    </row>
    <row r="8" spans="5:7" ht="14.65" thickBot="1">
      <c r="E8" s="3" t="s">
        <v>7</v>
      </c>
      <c r="F8" s="7">
        <f>F6/F7</f>
        <v>8.3083775107926527E-2</v>
      </c>
      <c r="G8" s="7">
        <f>G6/G7</f>
        <v>8.3913988729408459E-2</v>
      </c>
    </row>
    <row r="9" spans="5:7">
      <c r="E9" t="s">
        <v>6</v>
      </c>
      <c r="F9">
        <f>F7</f>
        <v>9286.41</v>
      </c>
      <c r="G9">
        <f>G7</f>
        <v>9245.2999999999993</v>
      </c>
    </row>
    <row r="10" spans="5:7">
      <c r="E10" t="s">
        <v>8</v>
      </c>
      <c r="F10" s="9">
        <f>(16301.77+17542.79)/2</f>
        <v>16922.28</v>
      </c>
      <c r="G10">
        <f>(17542.79+19878.88)/2</f>
        <v>18710.834999999999</v>
      </c>
    </row>
    <row r="11" spans="5:7" ht="14.65" thickBot="1">
      <c r="E11" s="3" t="s">
        <v>9</v>
      </c>
      <c r="F11" s="8">
        <f>F9/F10</f>
        <v>0.54876825108673299</v>
      </c>
      <c r="G11" s="8">
        <f>G9/G10</f>
        <v>0.49411477360577438</v>
      </c>
    </row>
    <row r="12" spans="5:7">
      <c r="E12" t="s">
        <v>8</v>
      </c>
      <c r="F12" s="9">
        <f>F10</f>
        <v>16922.28</v>
      </c>
      <c r="G12">
        <f>G10</f>
        <v>18710.834999999999</v>
      </c>
    </row>
    <row r="13" spans="5:7">
      <c r="E13" t="s">
        <v>10</v>
      </c>
      <c r="F13" s="9">
        <f>(5927.86+6457.62)/2</f>
        <v>6192.74</v>
      </c>
      <c r="G13" s="9">
        <f>(6457.62+7404.67)/2</f>
        <v>6931.1450000000004</v>
      </c>
    </row>
    <row r="14" spans="5:7" ht="14.65" thickBot="1">
      <c r="E14" s="3" t="s">
        <v>11</v>
      </c>
      <c r="F14" s="8">
        <f>F12/F13</f>
        <v>2.7325997862012614</v>
      </c>
      <c r="G14" s="8">
        <f>G12/G13</f>
        <v>2.699530164208078</v>
      </c>
    </row>
    <row r="15" spans="5:7" ht="14.65" thickBot="1">
      <c r="E15" s="5" t="s">
        <v>12</v>
      </c>
      <c r="F15" s="12">
        <f>F8*F11*F14</f>
        <v>0.12458943860068403</v>
      </c>
      <c r="G15" s="12">
        <f>G8*G11*G14</f>
        <v>0.11193100129920812</v>
      </c>
    </row>
    <row r="16" spans="5:7" ht="14.65" thickTop="1">
      <c r="E16" t="s">
        <v>13</v>
      </c>
      <c r="F16">
        <v>10307.879999999999</v>
      </c>
      <c r="G16">
        <v>11604.23</v>
      </c>
    </row>
    <row r="17" spans="5:7">
      <c r="E17" t="s">
        <v>14</v>
      </c>
      <c r="F17">
        <v>6457.62</v>
      </c>
      <c r="G17" s="9">
        <v>7404.67</v>
      </c>
    </row>
    <row r="18" spans="5:7" ht="14.65" thickBot="1">
      <c r="E18" s="3" t="s">
        <v>15</v>
      </c>
      <c r="F18" s="8">
        <f>F16/F17</f>
        <v>1.5962351454560657</v>
      </c>
      <c r="G18" s="8">
        <f>G16/G17</f>
        <v>1.5671501903528449</v>
      </c>
    </row>
    <row r="19" spans="5:7">
      <c r="E19" t="s">
        <v>6</v>
      </c>
      <c r="F19">
        <f>F7</f>
        <v>9286.41</v>
      </c>
      <c r="G19">
        <f>G7</f>
        <v>9245.2999999999993</v>
      </c>
    </row>
    <row r="20" spans="5:7">
      <c r="E20" t="s">
        <v>16</v>
      </c>
      <c r="F20" s="9">
        <f>F19/F21</f>
        <v>27.338701130475741</v>
      </c>
      <c r="G20" s="9">
        <f>G19/G21</f>
        <v>29.99383597196989</v>
      </c>
    </row>
    <row r="21" spans="5:7">
      <c r="E21" s="10" t="s">
        <v>17</v>
      </c>
      <c r="F21" s="11">
        <v>339.68</v>
      </c>
      <c r="G21" s="11">
        <v>308.24</v>
      </c>
    </row>
    <row r="22" spans="5:7">
      <c r="E22" s="10" t="s">
        <v>18</v>
      </c>
      <c r="F22" s="11">
        <v>113.69</v>
      </c>
      <c r="G22" s="11">
        <v>131.83000000000001</v>
      </c>
    </row>
    <row r="23" spans="5:7">
      <c r="E23" s="10" t="s">
        <v>19</v>
      </c>
      <c r="F23" s="11">
        <v>5.49</v>
      </c>
      <c r="G23" s="11">
        <v>7.03</v>
      </c>
    </row>
    <row r="24" spans="5:7">
      <c r="E24" s="10" t="s">
        <v>23</v>
      </c>
      <c r="F24" s="11">
        <v>5.46</v>
      </c>
      <c r="G24" s="11">
        <v>6.49</v>
      </c>
    </row>
    <row r="25" spans="5:7" ht="14.65" thickBot="1">
      <c r="E25" s="3" t="s">
        <v>21</v>
      </c>
      <c r="F25" s="4">
        <v>0.97</v>
      </c>
      <c r="G25" s="4">
        <v>0.95</v>
      </c>
    </row>
  </sheetData>
  <mergeCells count="1">
    <mergeCell ref="F4:G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F9669-7681-4BD9-B7E9-6E49C26F3DFC}">
  <dimension ref="A1:AF127"/>
  <sheetViews>
    <sheetView topLeftCell="A100" workbookViewId="0">
      <selection activeCell="D38" sqref="D38"/>
    </sheetView>
  </sheetViews>
  <sheetFormatPr defaultRowHeight="14.25"/>
  <cols>
    <col min="1" max="1" width="26.265625" bestFit="1" customWidth="1"/>
    <col min="2" max="2" width="10.59765625" bestFit="1" customWidth="1"/>
    <col min="3" max="3" width="12.59765625" customWidth="1"/>
    <col min="4" max="4" width="9.86328125" bestFit="1" customWidth="1"/>
    <col min="5" max="5" width="13.3984375" bestFit="1" customWidth="1"/>
    <col min="6" max="6" width="11.73046875" bestFit="1" customWidth="1"/>
    <col min="7" max="7" width="11" bestFit="1" customWidth="1"/>
    <col min="8" max="8" width="14.3984375" bestFit="1" customWidth="1"/>
    <col min="9" max="9" width="13.73046875" bestFit="1" customWidth="1"/>
    <col min="10" max="10" width="9.59765625" bestFit="1" customWidth="1"/>
    <col min="11" max="11" width="15" bestFit="1" customWidth="1"/>
    <col min="12" max="12" width="16.59765625" bestFit="1" customWidth="1"/>
    <col min="13" max="13" width="9.3984375" bestFit="1" customWidth="1"/>
    <col min="14" max="14" width="11.265625" bestFit="1" customWidth="1"/>
    <col min="15" max="15" width="8.3984375" bestFit="1" customWidth="1"/>
    <col min="22" max="22" width="22.59765625" bestFit="1" customWidth="1"/>
    <col min="23" max="23" width="22.59765625" customWidth="1"/>
    <col min="24" max="24" width="13" customWidth="1"/>
    <col min="25" max="25" width="9.3984375" bestFit="1" customWidth="1"/>
    <col min="26" max="26" width="13.1328125" customWidth="1"/>
    <col min="27" max="27" width="12.73046875" customWidth="1"/>
  </cols>
  <sheetData>
    <row r="1" spans="1:32">
      <c r="A1" s="53" t="s">
        <v>28</v>
      </c>
      <c r="B1" s="53"/>
      <c r="C1" s="53"/>
      <c r="D1" s="53"/>
      <c r="E1" s="53"/>
      <c r="F1" s="14"/>
      <c r="G1" s="14"/>
      <c r="H1" s="14"/>
      <c r="I1" s="14"/>
      <c r="J1" s="14"/>
      <c r="K1" s="14"/>
      <c r="L1" s="14"/>
      <c r="M1" s="14"/>
      <c r="N1" s="14"/>
      <c r="O1" s="14"/>
      <c r="P1" s="14"/>
      <c r="Q1" s="14"/>
      <c r="R1" s="14"/>
    </row>
    <row r="2" spans="1:32">
      <c r="A2" s="15" t="s">
        <v>29</v>
      </c>
      <c r="B2" s="14"/>
      <c r="C2" s="14"/>
      <c r="D2" s="14"/>
      <c r="E2" s="14"/>
      <c r="F2" s="14"/>
      <c r="G2" s="14"/>
      <c r="H2" s="14"/>
      <c r="I2" s="14"/>
      <c r="J2" s="14"/>
      <c r="K2" s="14"/>
      <c r="L2" s="14"/>
      <c r="M2" s="14"/>
      <c r="N2" s="14"/>
      <c r="O2" s="14"/>
      <c r="P2" s="14"/>
      <c r="Q2" s="14"/>
      <c r="R2" s="14"/>
    </row>
    <row r="3" spans="1:32">
      <c r="A3" s="14" t="s">
        <v>30</v>
      </c>
      <c r="B3" s="16" t="s">
        <v>30</v>
      </c>
      <c r="C3" s="16" t="s">
        <v>30</v>
      </c>
      <c r="D3" s="16" t="s">
        <v>30</v>
      </c>
      <c r="E3" s="16" t="s">
        <v>30</v>
      </c>
      <c r="F3" s="16" t="s">
        <v>30</v>
      </c>
      <c r="G3" s="16" t="s">
        <v>30</v>
      </c>
      <c r="H3" s="16" t="s">
        <v>30</v>
      </c>
      <c r="I3" s="16" t="s">
        <v>30</v>
      </c>
      <c r="J3" s="16" t="s">
        <v>30</v>
      </c>
      <c r="K3" s="16" t="s">
        <v>30</v>
      </c>
      <c r="L3" s="16" t="s">
        <v>30</v>
      </c>
      <c r="M3" s="16" t="s">
        <v>30</v>
      </c>
      <c r="N3" s="16" t="s">
        <v>30</v>
      </c>
      <c r="O3" s="16" t="s">
        <v>30</v>
      </c>
      <c r="P3" s="16" t="s">
        <v>30</v>
      </c>
      <c r="Q3" s="16" t="s">
        <v>30</v>
      </c>
      <c r="R3" s="16" t="s">
        <v>30</v>
      </c>
    </row>
    <row r="4" spans="1:32">
      <c r="A4" s="14"/>
      <c r="B4" s="14"/>
      <c r="C4" s="14"/>
      <c r="D4" s="14"/>
      <c r="E4" s="14"/>
      <c r="F4" s="14"/>
      <c r="G4" s="14"/>
      <c r="H4" s="14"/>
      <c r="I4" s="14"/>
      <c r="J4" s="14"/>
      <c r="K4" s="14"/>
      <c r="L4" s="14"/>
      <c r="M4" s="14"/>
      <c r="N4" s="14"/>
      <c r="O4" s="14"/>
      <c r="P4" s="14"/>
      <c r="Q4" s="14"/>
      <c r="R4" s="14"/>
    </row>
    <row r="5" spans="1:32">
      <c r="A5" s="53" t="s">
        <v>31</v>
      </c>
      <c r="B5" s="53"/>
      <c r="C5" s="14"/>
      <c r="D5" s="14"/>
      <c r="E5" s="14"/>
      <c r="F5" s="14"/>
      <c r="G5" s="14"/>
      <c r="H5" s="14"/>
      <c r="I5" s="14"/>
      <c r="J5" s="14"/>
      <c r="K5" s="14"/>
      <c r="L5" s="14"/>
      <c r="M5" s="14"/>
      <c r="N5" s="14"/>
      <c r="O5" s="14"/>
      <c r="P5" s="14"/>
      <c r="Q5" s="14"/>
      <c r="R5" s="14"/>
    </row>
    <row r="6" spans="1:32">
      <c r="A6" s="13" t="s">
        <v>32</v>
      </c>
      <c r="B6" s="14"/>
      <c r="C6" s="14"/>
      <c r="D6" s="14"/>
      <c r="E6" s="14"/>
      <c r="F6" s="14"/>
      <c r="G6" s="14"/>
      <c r="H6" s="14"/>
      <c r="I6" s="14"/>
      <c r="J6" s="14"/>
      <c r="K6" s="14"/>
      <c r="L6" s="14"/>
      <c r="M6" s="14"/>
      <c r="N6" s="14"/>
      <c r="O6" s="14"/>
      <c r="P6" s="14"/>
      <c r="Q6" s="14"/>
      <c r="R6" s="14"/>
    </row>
    <row r="7" spans="1:32">
      <c r="A7" s="17" t="s">
        <v>30</v>
      </c>
      <c r="B7" s="17" t="s">
        <v>30</v>
      </c>
      <c r="C7" s="17" t="s">
        <v>30</v>
      </c>
      <c r="D7" s="52" t="s">
        <v>33</v>
      </c>
      <c r="E7" s="52"/>
      <c r="F7" s="17" t="s">
        <v>30</v>
      </c>
      <c r="G7" s="17" t="s">
        <v>30</v>
      </c>
      <c r="H7" s="17" t="s">
        <v>30</v>
      </c>
      <c r="I7" s="52" t="s">
        <v>34</v>
      </c>
      <c r="J7" s="52"/>
      <c r="K7" s="17" t="s">
        <v>30</v>
      </c>
      <c r="L7" s="17" t="s">
        <v>35</v>
      </c>
      <c r="M7" s="17" t="s">
        <v>30</v>
      </c>
      <c r="N7" s="14"/>
      <c r="O7" s="14"/>
      <c r="P7" s="14"/>
      <c r="Q7" s="14"/>
      <c r="R7" s="14"/>
      <c r="V7" s="32" t="s">
        <v>30</v>
      </c>
      <c r="W7" s="32"/>
      <c r="X7" s="33"/>
      <c r="Y7" s="33"/>
      <c r="Z7" s="32" t="s">
        <v>35</v>
      </c>
      <c r="AA7" s="33"/>
      <c r="AB7" s="50" t="s">
        <v>7</v>
      </c>
      <c r="AC7" s="50"/>
      <c r="AD7" s="51" t="s">
        <v>36</v>
      </c>
      <c r="AE7" s="51"/>
      <c r="AF7" s="51"/>
    </row>
    <row r="8" spans="1:32">
      <c r="A8" s="17" t="s">
        <v>37</v>
      </c>
      <c r="B8" s="17" t="s">
        <v>30</v>
      </c>
      <c r="C8" s="17" t="s">
        <v>38</v>
      </c>
      <c r="D8" s="17" t="s">
        <v>30</v>
      </c>
      <c r="E8" s="17" t="s">
        <v>30</v>
      </c>
      <c r="F8" s="17" t="s">
        <v>30</v>
      </c>
      <c r="G8" s="17" t="s">
        <v>39</v>
      </c>
      <c r="H8" s="17" t="s">
        <v>39</v>
      </c>
      <c r="I8" s="17" t="s">
        <v>30</v>
      </c>
      <c r="J8" s="17" t="s">
        <v>30</v>
      </c>
      <c r="K8" s="17" t="s">
        <v>30</v>
      </c>
      <c r="L8" s="17" t="s">
        <v>40</v>
      </c>
      <c r="M8" s="17" t="s">
        <v>40</v>
      </c>
      <c r="N8" s="14"/>
      <c r="O8" s="14"/>
      <c r="P8" s="14"/>
      <c r="Q8" s="14"/>
      <c r="R8" s="14"/>
      <c r="V8" s="32" t="s">
        <v>37</v>
      </c>
      <c r="W8" s="32" t="s">
        <v>30</v>
      </c>
      <c r="X8" s="33"/>
      <c r="Y8" s="33"/>
      <c r="Z8" s="32" t="s">
        <v>40</v>
      </c>
      <c r="AA8" s="33"/>
      <c r="AB8" s="32" t="s">
        <v>30</v>
      </c>
      <c r="AC8" s="32" t="s">
        <v>30</v>
      </c>
      <c r="AD8" s="32" t="s">
        <v>30</v>
      </c>
      <c r="AE8" s="32" t="s">
        <v>30</v>
      </c>
      <c r="AF8" s="32" t="s">
        <v>30</v>
      </c>
    </row>
    <row r="9" spans="1:32">
      <c r="A9" s="17" t="s">
        <v>41</v>
      </c>
      <c r="B9" s="17" t="s">
        <v>42</v>
      </c>
      <c r="C9" s="17" t="s">
        <v>43</v>
      </c>
      <c r="D9" s="17" t="s">
        <v>44</v>
      </c>
      <c r="E9" s="17" t="s">
        <v>45</v>
      </c>
      <c r="F9" s="17" t="s">
        <v>46</v>
      </c>
      <c r="G9" s="17" t="s">
        <v>47</v>
      </c>
      <c r="H9" s="17" t="s">
        <v>48</v>
      </c>
      <c r="I9" s="17" t="s">
        <v>49</v>
      </c>
      <c r="J9" s="17" t="s">
        <v>50</v>
      </c>
      <c r="K9" s="17" t="s">
        <v>51</v>
      </c>
      <c r="L9" s="17" t="s">
        <v>52</v>
      </c>
      <c r="M9" s="17" t="s">
        <v>53</v>
      </c>
      <c r="N9" s="14"/>
      <c r="O9" s="14"/>
      <c r="P9" s="14"/>
      <c r="Q9" s="14"/>
      <c r="R9" s="14"/>
      <c r="V9" s="32" t="s">
        <v>41</v>
      </c>
      <c r="W9" s="32" t="s">
        <v>45</v>
      </c>
      <c r="X9" s="32" t="s">
        <v>49</v>
      </c>
      <c r="Y9" s="32" t="s">
        <v>50</v>
      </c>
      <c r="Z9" s="32" t="s">
        <v>52</v>
      </c>
      <c r="AA9" s="32" t="s">
        <v>46</v>
      </c>
      <c r="AB9" s="32" t="s">
        <v>54</v>
      </c>
      <c r="AC9" s="32" t="s">
        <v>55</v>
      </c>
      <c r="AD9" s="32" t="s">
        <v>56</v>
      </c>
      <c r="AE9" s="32" t="s">
        <v>57</v>
      </c>
      <c r="AF9" s="32" t="s">
        <v>58</v>
      </c>
    </row>
    <row r="10" spans="1:32">
      <c r="A10" s="18" t="s">
        <v>59</v>
      </c>
      <c r="B10" s="18" t="s">
        <v>60</v>
      </c>
      <c r="C10" s="19">
        <v>45930</v>
      </c>
      <c r="D10" s="18">
        <v>82.06</v>
      </c>
      <c r="E10" s="20">
        <v>378038.2</v>
      </c>
      <c r="F10" s="20">
        <v>341991</v>
      </c>
      <c r="G10" s="20">
        <v>4255.8999999999996</v>
      </c>
      <c r="H10" s="20">
        <v>4530.8999999999996</v>
      </c>
      <c r="I10" s="20">
        <v>74737.8</v>
      </c>
      <c r="J10" s="20">
        <v>10038.4</v>
      </c>
      <c r="K10" s="21" t="s">
        <v>61</v>
      </c>
      <c r="L10" s="18" t="s">
        <v>62</v>
      </c>
      <c r="M10" s="21" t="s">
        <v>61</v>
      </c>
      <c r="N10" s="14"/>
      <c r="O10" s="14"/>
      <c r="P10" s="14"/>
      <c r="Q10" s="14"/>
      <c r="R10" s="14"/>
      <c r="V10" s="18" t="s">
        <v>59</v>
      </c>
      <c r="W10" s="20">
        <v>378038.2</v>
      </c>
      <c r="X10" s="20">
        <v>74737.8</v>
      </c>
      <c r="Y10" s="20">
        <v>10038.4</v>
      </c>
      <c r="Z10" s="18" t="s">
        <v>62</v>
      </c>
      <c r="AA10" s="20">
        <v>341991</v>
      </c>
      <c r="AB10" s="28">
        <v>0.16500000000000001</v>
      </c>
      <c r="AC10" s="28">
        <v>0.16400000000000001</v>
      </c>
      <c r="AD10" s="28">
        <v>0.50470000000000004</v>
      </c>
      <c r="AE10" s="28">
        <v>0.96819999999999995</v>
      </c>
      <c r="AF10" s="28">
        <v>1.9311</v>
      </c>
    </row>
    <row r="11" spans="1:32">
      <c r="A11" s="14" t="s">
        <v>63</v>
      </c>
      <c r="B11" s="14" t="s">
        <v>64</v>
      </c>
      <c r="C11" s="22">
        <v>45930</v>
      </c>
      <c r="D11" s="14">
        <v>37.61</v>
      </c>
      <c r="E11" s="23">
        <v>76706</v>
      </c>
      <c r="F11" s="23">
        <v>76062.899999999994</v>
      </c>
      <c r="G11" s="23">
        <v>1589.7</v>
      </c>
      <c r="H11" s="23">
        <v>2052.8000000000002</v>
      </c>
      <c r="I11" s="23">
        <v>18260.3</v>
      </c>
      <c r="J11" s="23">
        <v>3462.6</v>
      </c>
      <c r="K11" s="24" t="s">
        <v>61</v>
      </c>
      <c r="L11" s="14" t="s">
        <v>65</v>
      </c>
      <c r="M11" s="24" t="s">
        <v>61</v>
      </c>
      <c r="N11" s="14"/>
      <c r="O11" s="14"/>
      <c r="P11" s="14"/>
      <c r="Q11" s="14"/>
      <c r="R11" s="14"/>
      <c r="V11" s="14" t="s">
        <v>63</v>
      </c>
      <c r="W11" s="23">
        <v>76706</v>
      </c>
      <c r="X11" s="23">
        <v>18260.3</v>
      </c>
      <c r="Y11" s="23">
        <v>3462.6</v>
      </c>
      <c r="Z11" s="14" t="s">
        <v>65</v>
      </c>
      <c r="AA11" s="23">
        <v>76062.899999999994</v>
      </c>
      <c r="AB11" s="29">
        <v>0.16300000000000001</v>
      </c>
      <c r="AC11" s="29">
        <v>0.154</v>
      </c>
      <c r="AD11" s="29">
        <v>1.2148000000000001</v>
      </c>
      <c r="AE11" s="29">
        <v>1.2856000000000001</v>
      </c>
      <c r="AF11" s="29">
        <v>4.6627000000000001</v>
      </c>
    </row>
    <row r="12" spans="1:32">
      <c r="A12" s="18" t="s">
        <v>66</v>
      </c>
      <c r="B12" s="18" t="s">
        <v>67</v>
      </c>
      <c r="C12" s="19">
        <v>45838</v>
      </c>
      <c r="D12" s="18">
        <v>22.77</v>
      </c>
      <c r="E12" s="20">
        <v>4282.8</v>
      </c>
      <c r="F12" s="20">
        <v>4342.8</v>
      </c>
      <c r="G12" s="18">
        <v>131</v>
      </c>
      <c r="H12" s="18">
        <v>183.6</v>
      </c>
      <c r="I12" s="20">
        <v>3416.2</v>
      </c>
      <c r="J12" s="25">
        <v>-33.299999999999997</v>
      </c>
      <c r="K12" s="25">
        <v>-3</v>
      </c>
      <c r="L12" s="21" t="s">
        <v>61</v>
      </c>
      <c r="M12" s="21" t="s">
        <v>61</v>
      </c>
      <c r="N12" s="14"/>
      <c r="O12" s="14"/>
      <c r="P12" s="14"/>
      <c r="Q12" s="14"/>
      <c r="R12" s="14"/>
      <c r="V12" s="18" t="s">
        <v>66</v>
      </c>
      <c r="W12" s="20">
        <v>4282.8</v>
      </c>
      <c r="X12" s="20">
        <v>3416.2</v>
      </c>
      <c r="Y12" s="25">
        <v>-33.299999999999997</v>
      </c>
      <c r="Z12" s="21" t="s">
        <v>61</v>
      </c>
      <c r="AA12" s="20">
        <v>4342.8</v>
      </c>
      <c r="AB12" s="30">
        <v>-8.0000000000000002E-3</v>
      </c>
      <c r="AC12" s="28">
        <v>1E-3</v>
      </c>
      <c r="AD12" s="30">
        <v>-0.19400000000000001</v>
      </c>
      <c r="AE12" s="28">
        <v>0.1419</v>
      </c>
      <c r="AF12" s="21" t="s">
        <v>61</v>
      </c>
    </row>
    <row r="13" spans="1:32">
      <c r="A13" s="14" t="s">
        <v>68</v>
      </c>
      <c r="B13" s="14" t="s">
        <v>69</v>
      </c>
      <c r="C13" s="22">
        <v>45930</v>
      </c>
      <c r="D13" s="14">
        <v>17.25</v>
      </c>
      <c r="E13" s="23">
        <v>37398.5</v>
      </c>
      <c r="F13" s="23">
        <v>38401.699999999997</v>
      </c>
      <c r="G13" s="23">
        <v>1861.5</v>
      </c>
      <c r="H13" s="23">
        <v>2200.9</v>
      </c>
      <c r="I13" s="23">
        <v>11536.7</v>
      </c>
      <c r="J13" s="14">
        <v>593.1</v>
      </c>
      <c r="K13" s="24" t="s">
        <v>61</v>
      </c>
      <c r="L13" s="14" t="s">
        <v>70</v>
      </c>
      <c r="M13" s="24" t="s">
        <v>61</v>
      </c>
      <c r="N13" s="14"/>
      <c r="O13" s="14"/>
      <c r="P13" s="14"/>
      <c r="Q13" s="14"/>
      <c r="R13" s="14"/>
      <c r="V13" s="14" t="s">
        <v>68</v>
      </c>
      <c r="W13" s="23">
        <v>37398.5</v>
      </c>
      <c r="X13" s="23">
        <v>11536.7</v>
      </c>
      <c r="Y13" s="14">
        <v>593.1</v>
      </c>
      <c r="Z13" s="14" t="s">
        <v>70</v>
      </c>
      <c r="AA13" s="23">
        <v>38401.699999999997</v>
      </c>
      <c r="AB13" s="29">
        <v>6.2E-2</v>
      </c>
      <c r="AC13" s="29">
        <v>8.3000000000000004E-2</v>
      </c>
      <c r="AD13" s="29">
        <v>0.6462</v>
      </c>
      <c r="AE13" s="31">
        <v>-1.37E-2</v>
      </c>
      <c r="AF13" s="29">
        <v>0.28610000000000002</v>
      </c>
    </row>
    <row r="14" spans="1:32">
      <c r="A14" s="18" t="s">
        <v>71</v>
      </c>
      <c r="B14" s="18" t="s">
        <v>30</v>
      </c>
      <c r="C14" s="18" t="s">
        <v>30</v>
      </c>
      <c r="D14" s="18" t="s">
        <v>30</v>
      </c>
      <c r="E14" s="18" t="s">
        <v>30</v>
      </c>
      <c r="F14" s="18" t="s">
        <v>30</v>
      </c>
      <c r="G14" s="18" t="s">
        <v>30</v>
      </c>
      <c r="H14" s="18" t="s">
        <v>30</v>
      </c>
      <c r="I14" s="18" t="s">
        <v>30</v>
      </c>
      <c r="J14" s="18" t="s">
        <v>30</v>
      </c>
      <c r="K14" s="18" t="s">
        <v>30</v>
      </c>
      <c r="L14" s="18" t="s">
        <v>72</v>
      </c>
      <c r="M14" s="21" t="s">
        <v>61</v>
      </c>
      <c r="N14" s="14"/>
      <c r="O14" s="14"/>
      <c r="P14" s="14"/>
      <c r="Q14" s="14"/>
      <c r="R14" s="14"/>
      <c r="V14" s="18" t="s">
        <v>71</v>
      </c>
      <c r="Y14" s="18" t="s">
        <v>30</v>
      </c>
      <c r="Z14" s="18" t="s">
        <v>72</v>
      </c>
      <c r="AA14" s="18" t="s">
        <v>30</v>
      </c>
      <c r="AB14" s="28">
        <v>9.6000000000000002E-2</v>
      </c>
      <c r="AC14" s="28">
        <v>0.1</v>
      </c>
      <c r="AD14" s="28">
        <v>1.2148000000000001</v>
      </c>
      <c r="AE14" s="28">
        <v>1.2856000000000001</v>
      </c>
      <c r="AF14" s="28">
        <v>4.6627000000000001</v>
      </c>
    </row>
    <row r="15" spans="1:32">
      <c r="A15" s="14" t="s">
        <v>73</v>
      </c>
      <c r="B15" s="14"/>
      <c r="C15" s="14"/>
      <c r="D15" s="14"/>
      <c r="E15" s="14"/>
      <c r="F15" s="14"/>
      <c r="G15" s="14"/>
      <c r="H15" s="14"/>
      <c r="I15" s="14"/>
      <c r="J15" s="14"/>
      <c r="K15" s="14"/>
      <c r="L15" s="14" t="s">
        <v>62</v>
      </c>
      <c r="M15" s="24" t="s">
        <v>61</v>
      </c>
      <c r="N15" s="14"/>
      <c r="O15" s="14"/>
      <c r="P15" s="14"/>
      <c r="Q15" s="14"/>
      <c r="R15" s="14"/>
      <c r="V15" s="14" t="s">
        <v>73</v>
      </c>
      <c r="W15" s="14"/>
      <c r="Z15" s="14" t="s">
        <v>62</v>
      </c>
      <c r="AB15" s="29">
        <v>0.112</v>
      </c>
      <c r="AC15" s="29">
        <v>0.11899999999999999</v>
      </c>
      <c r="AD15" s="31">
        <v>-0.19400000000000001</v>
      </c>
      <c r="AE15" s="31">
        <v>-1.37E-2</v>
      </c>
      <c r="AF15" s="29">
        <v>0.28610000000000002</v>
      </c>
    </row>
    <row r="16" spans="1:32">
      <c r="A16" s="13" t="s">
        <v>74</v>
      </c>
      <c r="B16" s="14"/>
      <c r="C16" s="14"/>
      <c r="D16" s="14"/>
      <c r="E16" s="14"/>
      <c r="F16" s="14"/>
      <c r="G16" s="14"/>
      <c r="H16" s="14"/>
      <c r="I16" s="14"/>
      <c r="J16" s="14"/>
      <c r="K16" s="14"/>
      <c r="L16" s="14"/>
      <c r="M16" s="14"/>
      <c r="N16" s="14"/>
      <c r="O16" s="14"/>
      <c r="P16" s="14"/>
      <c r="Q16" s="14"/>
      <c r="R16" s="14"/>
    </row>
    <row r="17" spans="1:18">
      <c r="A17" s="17" t="s">
        <v>30</v>
      </c>
      <c r="B17" s="17" t="s">
        <v>30</v>
      </c>
      <c r="C17" s="17" t="s">
        <v>30</v>
      </c>
      <c r="D17" s="17" t="s">
        <v>30</v>
      </c>
      <c r="E17" s="17" t="s">
        <v>30</v>
      </c>
      <c r="F17" s="17" t="s">
        <v>75</v>
      </c>
      <c r="G17" s="17" t="s">
        <v>30</v>
      </c>
      <c r="H17" s="17" t="s">
        <v>30</v>
      </c>
      <c r="I17" s="17" t="s">
        <v>76</v>
      </c>
      <c r="J17" s="17" t="s">
        <v>30</v>
      </c>
      <c r="K17" s="17" t="s">
        <v>30</v>
      </c>
      <c r="L17" s="17" t="s">
        <v>34</v>
      </c>
      <c r="M17" s="17" t="s">
        <v>30</v>
      </c>
      <c r="N17" s="17" t="s">
        <v>30</v>
      </c>
      <c r="O17" s="14"/>
      <c r="P17" s="14"/>
      <c r="Q17" s="14"/>
      <c r="R17" s="14"/>
    </row>
    <row r="18" spans="1:18">
      <c r="A18" s="17" t="s">
        <v>37</v>
      </c>
      <c r="B18" s="17" t="s">
        <v>30</v>
      </c>
      <c r="C18" s="17" t="s">
        <v>38</v>
      </c>
      <c r="D18" s="17" t="s">
        <v>77</v>
      </c>
      <c r="E18" s="17" t="s">
        <v>30</v>
      </c>
      <c r="F18" s="17" t="s">
        <v>30</v>
      </c>
      <c r="G18" s="17" t="s">
        <v>30</v>
      </c>
      <c r="H18" s="17" t="s">
        <v>30</v>
      </c>
      <c r="I18" s="17" t="s">
        <v>30</v>
      </c>
      <c r="J18" s="17" t="s">
        <v>30</v>
      </c>
      <c r="K18" s="17" t="s">
        <v>30</v>
      </c>
      <c r="L18" s="17" t="s">
        <v>30</v>
      </c>
      <c r="M18" s="17" t="s">
        <v>30</v>
      </c>
      <c r="N18" s="17" t="s">
        <v>30</v>
      </c>
      <c r="O18" s="14"/>
      <c r="P18" s="14"/>
      <c r="Q18" s="14"/>
      <c r="R18" s="14"/>
    </row>
    <row r="19" spans="1:18">
      <c r="A19" s="17" t="s">
        <v>41</v>
      </c>
      <c r="B19" s="17" t="s">
        <v>42</v>
      </c>
      <c r="C19" s="17" t="s">
        <v>43</v>
      </c>
      <c r="D19" s="17" t="s">
        <v>78</v>
      </c>
      <c r="E19" s="17" t="s">
        <v>46</v>
      </c>
      <c r="F19" s="17" t="s">
        <v>54</v>
      </c>
      <c r="G19" s="17" t="s">
        <v>77</v>
      </c>
      <c r="H19" s="17" t="s">
        <v>79</v>
      </c>
      <c r="I19" s="17" t="s">
        <v>80</v>
      </c>
      <c r="J19" s="17" t="s">
        <v>52</v>
      </c>
      <c r="K19" s="17" t="s">
        <v>53</v>
      </c>
      <c r="L19" s="17" t="s">
        <v>49</v>
      </c>
      <c r="M19" s="17" t="s">
        <v>50</v>
      </c>
      <c r="N19" s="17" t="s">
        <v>51</v>
      </c>
      <c r="O19" s="14"/>
      <c r="P19" s="14"/>
      <c r="Q19" s="14"/>
      <c r="R19" s="14"/>
    </row>
    <row r="20" spans="1:18">
      <c r="A20" s="18" t="s">
        <v>59</v>
      </c>
      <c r="B20" s="18" t="s">
        <v>60</v>
      </c>
      <c r="C20" s="19">
        <v>45930</v>
      </c>
      <c r="D20" s="26">
        <v>45992</v>
      </c>
      <c r="E20" s="20">
        <v>341991</v>
      </c>
      <c r="F20" s="18" t="s">
        <v>81</v>
      </c>
      <c r="G20" s="18" t="s">
        <v>82</v>
      </c>
      <c r="H20" s="18" t="s">
        <v>83</v>
      </c>
      <c r="I20" s="18" t="s">
        <v>84</v>
      </c>
      <c r="J20" s="18" t="s">
        <v>62</v>
      </c>
      <c r="K20" s="21" t="s">
        <v>61</v>
      </c>
      <c r="L20" s="20">
        <v>74737.8</v>
      </c>
      <c r="M20" s="20">
        <v>10038.4</v>
      </c>
      <c r="N20" s="21" t="s">
        <v>61</v>
      </c>
      <c r="O20" s="14"/>
      <c r="P20" s="14"/>
      <c r="Q20" s="14"/>
      <c r="R20" s="14"/>
    </row>
    <row r="21" spans="1:18">
      <c r="A21" s="14" t="s">
        <v>63</v>
      </c>
      <c r="B21" s="14" t="s">
        <v>64</v>
      </c>
      <c r="C21" s="22">
        <v>45930</v>
      </c>
      <c r="D21" s="27">
        <v>45992</v>
      </c>
      <c r="E21" s="23">
        <v>76062.899999999994</v>
      </c>
      <c r="F21" s="14" t="s">
        <v>85</v>
      </c>
      <c r="G21" s="14" t="s">
        <v>86</v>
      </c>
      <c r="H21" s="14" t="s">
        <v>87</v>
      </c>
      <c r="I21" s="14" t="s">
        <v>88</v>
      </c>
      <c r="J21" s="14" t="s">
        <v>65</v>
      </c>
      <c r="K21" s="24" t="s">
        <v>61</v>
      </c>
      <c r="L21" s="23">
        <v>18260.3</v>
      </c>
      <c r="M21" s="23">
        <v>3462.6</v>
      </c>
      <c r="N21" s="24" t="s">
        <v>61</v>
      </c>
      <c r="O21" s="14"/>
      <c r="P21" s="14"/>
      <c r="Q21" s="14"/>
      <c r="R21" s="14"/>
    </row>
    <row r="22" spans="1:18">
      <c r="A22" s="18" t="s">
        <v>66</v>
      </c>
      <c r="B22" s="18" t="s">
        <v>67</v>
      </c>
      <c r="C22" s="19">
        <v>45838</v>
      </c>
      <c r="D22" s="26">
        <v>45901</v>
      </c>
      <c r="E22" s="20">
        <v>4342.8</v>
      </c>
      <c r="F22" s="21" t="s">
        <v>61</v>
      </c>
      <c r="G22" s="21" t="s">
        <v>61</v>
      </c>
      <c r="H22" s="21" t="s">
        <v>61</v>
      </c>
      <c r="I22" s="18" t="s">
        <v>89</v>
      </c>
      <c r="J22" s="21" t="s">
        <v>61</v>
      </c>
      <c r="K22" s="21" t="s">
        <v>61</v>
      </c>
      <c r="L22" s="20">
        <v>3416.2</v>
      </c>
      <c r="M22" s="25">
        <v>-33.299999999999997</v>
      </c>
      <c r="N22" s="25">
        <v>-3</v>
      </c>
      <c r="O22" s="14"/>
      <c r="P22" s="14"/>
      <c r="Q22" s="14"/>
      <c r="R22" s="14"/>
    </row>
    <row r="23" spans="1:18">
      <c r="A23" s="14" t="s">
        <v>68</v>
      </c>
      <c r="B23" s="14" t="s">
        <v>69</v>
      </c>
      <c r="C23" s="22">
        <v>45930</v>
      </c>
      <c r="D23" s="27">
        <v>45992</v>
      </c>
      <c r="E23" s="23">
        <v>38401.699999999997</v>
      </c>
      <c r="F23" s="14" t="s">
        <v>90</v>
      </c>
      <c r="G23" s="14" t="s">
        <v>91</v>
      </c>
      <c r="H23" s="14" t="s">
        <v>92</v>
      </c>
      <c r="I23" s="14" t="s">
        <v>93</v>
      </c>
      <c r="J23" s="14" t="s">
        <v>70</v>
      </c>
      <c r="K23" s="24" t="s">
        <v>61</v>
      </c>
      <c r="L23" s="23">
        <v>11536.7</v>
      </c>
      <c r="M23" s="14">
        <v>593.1</v>
      </c>
      <c r="N23" s="24" t="s">
        <v>61</v>
      </c>
      <c r="O23" s="14"/>
      <c r="P23" s="14"/>
      <c r="Q23" s="14"/>
      <c r="R23" s="14"/>
    </row>
    <row r="24" spans="1:18">
      <c r="A24" s="18" t="s">
        <v>71</v>
      </c>
      <c r="B24" s="18" t="s">
        <v>30</v>
      </c>
      <c r="C24" s="18" t="s">
        <v>30</v>
      </c>
      <c r="D24" s="18" t="s">
        <v>30</v>
      </c>
      <c r="E24" s="18" t="s">
        <v>30</v>
      </c>
      <c r="F24" s="18" t="s">
        <v>94</v>
      </c>
      <c r="G24" s="18" t="s">
        <v>95</v>
      </c>
      <c r="H24" s="18" t="s">
        <v>96</v>
      </c>
      <c r="I24" s="18" t="s">
        <v>97</v>
      </c>
      <c r="J24" s="18" t="s">
        <v>72</v>
      </c>
      <c r="K24" s="21" t="s">
        <v>61</v>
      </c>
      <c r="L24" s="18" t="s">
        <v>30</v>
      </c>
      <c r="M24" s="18" t="s">
        <v>30</v>
      </c>
      <c r="N24" s="18" t="s">
        <v>30</v>
      </c>
      <c r="O24" s="14"/>
      <c r="P24" s="14"/>
      <c r="Q24" s="14"/>
      <c r="R24" s="14"/>
    </row>
    <row r="25" spans="1:18">
      <c r="A25" s="14" t="s">
        <v>73</v>
      </c>
      <c r="B25" s="14"/>
      <c r="C25" s="14"/>
      <c r="D25" s="14"/>
      <c r="E25" s="14"/>
      <c r="F25" s="14" t="s">
        <v>81</v>
      </c>
      <c r="G25" s="14" t="s">
        <v>82</v>
      </c>
      <c r="H25" s="14" t="s">
        <v>87</v>
      </c>
      <c r="I25" s="14" t="s">
        <v>98</v>
      </c>
      <c r="J25" s="14" t="s">
        <v>62</v>
      </c>
      <c r="K25" s="24" t="s">
        <v>61</v>
      </c>
      <c r="L25" s="14"/>
      <c r="M25" s="14"/>
      <c r="N25" s="14"/>
      <c r="O25" s="14"/>
      <c r="P25" s="14"/>
      <c r="Q25" s="14"/>
      <c r="R25" s="14"/>
    </row>
    <row r="26" spans="1:18">
      <c r="A26" s="13" t="s">
        <v>99</v>
      </c>
      <c r="B26" s="14"/>
      <c r="C26" s="14"/>
      <c r="D26" s="14"/>
      <c r="E26" s="14"/>
      <c r="F26" s="14"/>
      <c r="G26" s="14"/>
      <c r="H26" s="14"/>
      <c r="I26" s="14"/>
      <c r="J26" s="14"/>
      <c r="K26" s="14"/>
      <c r="L26" s="14"/>
      <c r="M26" s="14"/>
      <c r="N26" s="14"/>
      <c r="O26" s="14"/>
      <c r="P26" s="14"/>
      <c r="Q26" s="14"/>
      <c r="R26" s="14"/>
    </row>
    <row r="27" spans="1:18">
      <c r="A27" s="17" t="s">
        <v>30</v>
      </c>
      <c r="B27" s="17" t="s">
        <v>30</v>
      </c>
      <c r="C27" s="17" t="s">
        <v>30</v>
      </c>
      <c r="D27" s="52" t="s">
        <v>33</v>
      </c>
      <c r="E27" s="52"/>
      <c r="F27" s="17" t="s">
        <v>30</v>
      </c>
      <c r="G27" s="17" t="s">
        <v>30</v>
      </c>
      <c r="H27" s="17" t="s">
        <v>34</v>
      </c>
      <c r="I27" s="17" t="s">
        <v>30</v>
      </c>
      <c r="J27" s="17" t="s">
        <v>30</v>
      </c>
      <c r="K27" s="17" t="s">
        <v>30</v>
      </c>
      <c r="L27" s="14"/>
      <c r="M27" s="14"/>
      <c r="N27" s="14"/>
      <c r="O27" s="14"/>
      <c r="P27" s="14"/>
      <c r="Q27" s="14"/>
      <c r="R27" s="14"/>
    </row>
    <row r="28" spans="1:18">
      <c r="A28" s="17" t="s">
        <v>37</v>
      </c>
      <c r="B28" s="17" t="s">
        <v>30</v>
      </c>
      <c r="C28" s="17" t="s">
        <v>38</v>
      </c>
      <c r="D28" s="17" t="s">
        <v>30</v>
      </c>
      <c r="E28" s="17" t="s">
        <v>39</v>
      </c>
      <c r="F28" s="17" t="s">
        <v>30</v>
      </c>
      <c r="G28" s="17" t="s">
        <v>30</v>
      </c>
      <c r="H28" s="17" t="s">
        <v>100</v>
      </c>
      <c r="I28" s="17" t="s">
        <v>30</v>
      </c>
      <c r="J28" s="17" t="s">
        <v>101</v>
      </c>
      <c r="K28" s="17" t="s">
        <v>102</v>
      </c>
      <c r="L28" s="14"/>
      <c r="M28" s="14"/>
      <c r="N28" s="14"/>
      <c r="O28" s="14"/>
      <c r="P28" s="14"/>
      <c r="Q28" s="14"/>
      <c r="R28" s="14"/>
    </row>
    <row r="29" spans="1:18">
      <c r="A29" s="17" t="s">
        <v>41</v>
      </c>
      <c r="B29" s="17" t="s">
        <v>42</v>
      </c>
      <c r="C29" s="17" t="s">
        <v>43</v>
      </c>
      <c r="D29" s="17" t="s">
        <v>44</v>
      </c>
      <c r="E29" s="17" t="s">
        <v>47</v>
      </c>
      <c r="F29" s="17" t="s">
        <v>45</v>
      </c>
      <c r="G29" s="17" t="s">
        <v>46</v>
      </c>
      <c r="H29" s="17" t="s">
        <v>103</v>
      </c>
      <c r="I29" s="17" t="s">
        <v>104</v>
      </c>
      <c r="J29" s="17" t="s">
        <v>105</v>
      </c>
      <c r="K29" s="17" t="s">
        <v>106</v>
      </c>
      <c r="L29" s="14"/>
      <c r="M29" s="14"/>
      <c r="N29" s="14"/>
      <c r="O29" s="14"/>
      <c r="P29" s="14"/>
      <c r="Q29" s="14"/>
      <c r="R29" s="14"/>
    </row>
    <row r="30" spans="1:18">
      <c r="A30" s="18" t="s">
        <v>59</v>
      </c>
      <c r="B30" s="18" t="s">
        <v>60</v>
      </c>
      <c r="C30" s="19">
        <v>45930</v>
      </c>
      <c r="D30" s="18">
        <v>82.06</v>
      </c>
      <c r="E30" s="20">
        <v>4255.8999999999996</v>
      </c>
      <c r="F30" s="20">
        <v>378038.2</v>
      </c>
      <c r="G30" s="20">
        <v>341991</v>
      </c>
      <c r="H30" s="20">
        <v>71833.399999999994</v>
      </c>
      <c r="I30" s="20">
        <v>41405</v>
      </c>
      <c r="J30" s="18">
        <v>0</v>
      </c>
      <c r="K30" s="20">
        <v>6404.2</v>
      </c>
      <c r="L30" s="14"/>
      <c r="M30" s="14"/>
      <c r="N30" s="14"/>
      <c r="O30" s="14"/>
      <c r="P30" s="14"/>
      <c r="Q30" s="14"/>
      <c r="R30" s="14"/>
    </row>
    <row r="31" spans="1:18">
      <c r="A31" s="14" t="s">
        <v>63</v>
      </c>
      <c r="B31" s="14" t="s">
        <v>64</v>
      </c>
      <c r="C31" s="22">
        <v>45930</v>
      </c>
      <c r="D31" s="14">
        <v>37.61</v>
      </c>
      <c r="E31" s="23">
        <v>1589.7</v>
      </c>
      <c r="F31" s="23">
        <v>76706</v>
      </c>
      <c r="G31" s="23">
        <v>76062.899999999994</v>
      </c>
      <c r="H31" s="23">
        <v>6279.2</v>
      </c>
      <c r="I31" s="23">
        <v>5674.1</v>
      </c>
      <c r="J31" s="14">
        <v>0</v>
      </c>
      <c r="K31" s="14">
        <v>632.29999999999995</v>
      </c>
      <c r="L31" s="14"/>
      <c r="M31" s="14"/>
      <c r="N31" s="14"/>
      <c r="O31" s="14"/>
      <c r="P31" s="14"/>
      <c r="Q31" s="14"/>
      <c r="R31" s="14"/>
    </row>
    <row r="32" spans="1:18">
      <c r="A32" s="18" t="s">
        <v>66</v>
      </c>
      <c r="B32" s="18" t="s">
        <v>67</v>
      </c>
      <c r="C32" s="19">
        <v>45838</v>
      </c>
      <c r="D32" s="18">
        <v>22.77</v>
      </c>
      <c r="E32" s="18">
        <v>131</v>
      </c>
      <c r="F32" s="20">
        <v>4282.8</v>
      </c>
      <c r="G32" s="20">
        <v>4342.8</v>
      </c>
      <c r="H32" s="18">
        <v>627.5</v>
      </c>
      <c r="I32" s="18">
        <v>558.79999999999995</v>
      </c>
      <c r="J32" s="18">
        <v>0</v>
      </c>
      <c r="K32" s="18">
        <v>154.80000000000001</v>
      </c>
      <c r="L32" s="14"/>
      <c r="M32" s="14"/>
      <c r="N32" s="14"/>
      <c r="O32" s="14"/>
      <c r="P32" s="14"/>
      <c r="Q32" s="14"/>
      <c r="R32" s="14"/>
    </row>
    <row r="33" spans="1:18">
      <c r="A33" s="14" t="s">
        <v>68</v>
      </c>
      <c r="B33" s="14" t="s">
        <v>69</v>
      </c>
      <c r="C33" s="22">
        <v>45930</v>
      </c>
      <c r="D33" s="14">
        <v>17.25</v>
      </c>
      <c r="E33" s="23">
        <v>1861.5</v>
      </c>
      <c r="F33" s="23">
        <v>37398.5</v>
      </c>
      <c r="G33" s="23">
        <v>38401.699999999997</v>
      </c>
      <c r="H33" s="23">
        <v>2940.7</v>
      </c>
      <c r="I33" s="23">
        <v>7294.7</v>
      </c>
      <c r="J33" s="14">
        <v>0</v>
      </c>
      <c r="K33" s="14">
        <v>516.6</v>
      </c>
      <c r="L33" s="14"/>
      <c r="M33" s="14"/>
      <c r="N33" s="14"/>
      <c r="O33" s="14"/>
      <c r="P33" s="14"/>
      <c r="Q33" s="14"/>
      <c r="R33" s="14"/>
    </row>
    <row r="34" spans="1:18">
      <c r="A34" s="13" t="s">
        <v>107</v>
      </c>
      <c r="B34" s="14"/>
      <c r="C34" s="14"/>
      <c r="D34" s="14"/>
      <c r="E34" s="14"/>
      <c r="F34" s="14"/>
      <c r="G34" s="14"/>
      <c r="H34" s="14"/>
      <c r="I34" s="14"/>
      <c r="J34" s="14"/>
      <c r="K34" s="14"/>
      <c r="L34" s="14"/>
      <c r="M34" s="14"/>
      <c r="N34" s="14"/>
      <c r="O34" s="14"/>
      <c r="P34" s="14"/>
      <c r="Q34" s="14"/>
      <c r="R34" s="14"/>
    </row>
    <row r="35" spans="1:18">
      <c r="A35" s="17" t="s">
        <v>30</v>
      </c>
      <c r="B35" s="17" t="s">
        <v>30</v>
      </c>
      <c r="C35" s="17" t="s">
        <v>30</v>
      </c>
      <c r="D35" s="52" t="s">
        <v>108</v>
      </c>
      <c r="E35" s="52"/>
      <c r="F35" s="52" t="s">
        <v>109</v>
      </c>
      <c r="G35" s="52"/>
      <c r="H35" s="52" t="s">
        <v>110</v>
      </c>
      <c r="I35" s="52"/>
      <c r="J35" s="52" t="s">
        <v>111</v>
      </c>
      <c r="K35" s="52"/>
      <c r="L35" s="17" t="s">
        <v>7</v>
      </c>
      <c r="M35" s="17" t="s">
        <v>30</v>
      </c>
      <c r="N35" s="14"/>
      <c r="O35" s="14"/>
      <c r="P35" s="14"/>
      <c r="Q35" s="14"/>
      <c r="R35" s="14"/>
    </row>
    <row r="36" spans="1:18">
      <c r="A36" s="17" t="s">
        <v>37</v>
      </c>
      <c r="B36" s="17" t="s">
        <v>30</v>
      </c>
      <c r="C36" s="17" t="s">
        <v>38</v>
      </c>
      <c r="D36" s="17" t="s">
        <v>30</v>
      </c>
      <c r="E36" s="17" t="s">
        <v>30</v>
      </c>
      <c r="F36" s="17" t="s">
        <v>30</v>
      </c>
      <c r="G36" s="17" t="s">
        <v>30</v>
      </c>
      <c r="H36" s="17" t="s">
        <v>30</v>
      </c>
      <c r="I36" s="17" t="s">
        <v>30</v>
      </c>
      <c r="J36" s="17" t="s">
        <v>30</v>
      </c>
      <c r="K36" s="17" t="s">
        <v>30</v>
      </c>
      <c r="L36" s="17" t="s">
        <v>30</v>
      </c>
      <c r="M36" s="17" t="s">
        <v>30</v>
      </c>
      <c r="N36" s="14"/>
      <c r="O36" s="14"/>
      <c r="P36" s="14"/>
      <c r="Q36" s="14"/>
      <c r="R36" s="14"/>
    </row>
    <row r="37" spans="1:18">
      <c r="A37" s="17" t="s">
        <v>41</v>
      </c>
      <c r="B37" s="17" t="s">
        <v>42</v>
      </c>
      <c r="C37" s="17" t="s">
        <v>43</v>
      </c>
      <c r="D37" s="17" t="s">
        <v>54</v>
      </c>
      <c r="E37" s="17" t="s">
        <v>55</v>
      </c>
      <c r="F37" s="17" t="s">
        <v>54</v>
      </c>
      <c r="G37" s="17" t="s">
        <v>55</v>
      </c>
      <c r="H37" s="17" t="s">
        <v>54</v>
      </c>
      <c r="I37" s="17" t="s">
        <v>55</v>
      </c>
      <c r="J37" s="17" t="s">
        <v>54</v>
      </c>
      <c r="K37" s="17" t="s">
        <v>55</v>
      </c>
      <c r="L37" s="17" t="s">
        <v>54</v>
      </c>
      <c r="M37" s="17" t="s">
        <v>55</v>
      </c>
      <c r="N37" s="14"/>
      <c r="O37" s="14"/>
      <c r="P37" s="14"/>
      <c r="Q37" s="14"/>
      <c r="R37" s="14"/>
    </row>
    <row r="38" spans="1:18">
      <c r="A38" s="18" t="s">
        <v>59</v>
      </c>
      <c r="B38" s="18" t="s">
        <v>60</v>
      </c>
      <c r="C38" s="19">
        <v>45930</v>
      </c>
      <c r="D38" s="28">
        <v>0.26900000000000002</v>
      </c>
      <c r="E38" s="28">
        <v>0.246</v>
      </c>
      <c r="F38" s="21" t="s">
        <v>61</v>
      </c>
      <c r="G38" s="28">
        <v>0.24</v>
      </c>
      <c r="H38" s="28">
        <v>0.13400000000000001</v>
      </c>
      <c r="I38" s="28">
        <v>0.184</v>
      </c>
      <c r="J38" s="28">
        <v>0.187</v>
      </c>
      <c r="K38" s="28">
        <v>0.20300000000000001</v>
      </c>
      <c r="L38" s="28">
        <v>0.16500000000000001</v>
      </c>
      <c r="M38" s="28">
        <v>0.16400000000000001</v>
      </c>
      <c r="N38" s="14"/>
      <c r="O38" s="14"/>
      <c r="P38" s="14"/>
      <c r="Q38" s="14"/>
      <c r="R38" s="14"/>
    </row>
    <row r="39" spans="1:18">
      <c r="A39" s="14" t="s">
        <v>63</v>
      </c>
      <c r="B39" s="14" t="s">
        <v>64</v>
      </c>
      <c r="C39" s="22">
        <v>45930</v>
      </c>
      <c r="D39" s="29">
        <v>0.33100000000000002</v>
      </c>
      <c r="E39" s="29">
        <v>0.32200000000000001</v>
      </c>
      <c r="F39" s="24" t="s">
        <v>61</v>
      </c>
      <c r="G39" s="29">
        <v>0.20499999999999999</v>
      </c>
      <c r="H39" s="29">
        <v>0.19</v>
      </c>
      <c r="I39" s="29">
        <v>0.19</v>
      </c>
      <c r="J39" s="29">
        <v>0.20200000000000001</v>
      </c>
      <c r="K39" s="29">
        <v>0.188</v>
      </c>
      <c r="L39" s="29">
        <v>0.16300000000000001</v>
      </c>
      <c r="M39" s="29">
        <v>0.154</v>
      </c>
      <c r="N39" s="14"/>
      <c r="O39" s="14"/>
      <c r="P39" s="14"/>
      <c r="Q39" s="14"/>
      <c r="R39" s="14"/>
    </row>
    <row r="40" spans="1:18">
      <c r="A40" s="18" t="s">
        <v>66</v>
      </c>
      <c r="B40" s="18" t="s">
        <v>67</v>
      </c>
      <c r="C40" s="19">
        <v>45838</v>
      </c>
      <c r="D40" s="28">
        <v>0.122</v>
      </c>
      <c r="E40" s="28">
        <v>0.108</v>
      </c>
      <c r="F40" s="30">
        <v>-1E-3</v>
      </c>
      <c r="G40" s="28">
        <v>0.02</v>
      </c>
      <c r="H40" s="30">
        <v>-0.01</v>
      </c>
      <c r="I40" s="28">
        <v>1E-3</v>
      </c>
      <c r="J40" s="30">
        <v>-6.0000000000000001E-3</v>
      </c>
      <c r="K40" s="28">
        <v>3.0000000000000001E-3</v>
      </c>
      <c r="L40" s="30">
        <v>-8.0000000000000002E-3</v>
      </c>
      <c r="M40" s="28">
        <v>1E-3</v>
      </c>
      <c r="N40" s="14"/>
      <c r="O40" s="14"/>
      <c r="P40" s="14"/>
      <c r="Q40" s="14"/>
      <c r="R40" s="14"/>
    </row>
    <row r="41" spans="1:18">
      <c r="A41" s="14" t="s">
        <v>68</v>
      </c>
      <c r="B41" s="14" t="s">
        <v>69</v>
      </c>
      <c r="C41" s="22">
        <v>45930</v>
      </c>
      <c r="D41" s="29">
        <v>0.193</v>
      </c>
      <c r="E41" s="29">
        <v>0.185</v>
      </c>
      <c r="F41" s="24" t="s">
        <v>61</v>
      </c>
      <c r="G41" s="29">
        <v>0.14000000000000001</v>
      </c>
      <c r="H41" s="29">
        <v>5.0999999999999997E-2</v>
      </c>
      <c r="I41" s="29">
        <v>9.6000000000000002E-2</v>
      </c>
      <c r="J41" s="29">
        <v>6.6000000000000003E-2</v>
      </c>
      <c r="K41" s="29">
        <v>9.7000000000000003E-2</v>
      </c>
      <c r="L41" s="29">
        <v>6.2E-2</v>
      </c>
      <c r="M41" s="29">
        <v>8.3000000000000004E-2</v>
      </c>
      <c r="N41" s="14"/>
      <c r="O41" s="14"/>
      <c r="P41" s="14"/>
      <c r="Q41" s="14"/>
      <c r="R41" s="14"/>
    </row>
    <row r="42" spans="1:18">
      <c r="A42" s="18" t="s">
        <v>71</v>
      </c>
      <c r="B42" s="18" t="s">
        <v>30</v>
      </c>
      <c r="C42" s="18" t="s">
        <v>30</v>
      </c>
      <c r="D42" s="28">
        <v>0.22900000000000001</v>
      </c>
      <c r="E42" s="28">
        <v>0.215</v>
      </c>
      <c r="F42" s="30">
        <v>-1E-3</v>
      </c>
      <c r="G42" s="28">
        <v>0.151</v>
      </c>
      <c r="H42" s="28">
        <v>9.0999999999999998E-2</v>
      </c>
      <c r="I42" s="28">
        <v>0.11799999999999999</v>
      </c>
      <c r="J42" s="28">
        <v>0.112</v>
      </c>
      <c r="K42" s="28">
        <v>0.123</v>
      </c>
      <c r="L42" s="28">
        <v>9.6000000000000002E-2</v>
      </c>
      <c r="M42" s="28">
        <v>0.1</v>
      </c>
      <c r="N42" s="14"/>
      <c r="O42" s="14"/>
      <c r="P42" s="14"/>
      <c r="Q42" s="14"/>
      <c r="R42" s="14"/>
    </row>
    <row r="43" spans="1:18">
      <c r="A43" s="14" t="s">
        <v>73</v>
      </c>
      <c r="B43" s="14"/>
      <c r="C43" s="14"/>
      <c r="D43" s="29">
        <v>0.23100000000000001</v>
      </c>
      <c r="E43" s="29">
        <v>0.216</v>
      </c>
      <c r="F43" s="31">
        <v>-1E-3</v>
      </c>
      <c r="G43" s="29">
        <v>0.17299999999999999</v>
      </c>
      <c r="H43" s="29">
        <v>9.2999999999999999E-2</v>
      </c>
      <c r="I43" s="29">
        <v>0.14000000000000001</v>
      </c>
      <c r="J43" s="29">
        <v>0.127</v>
      </c>
      <c r="K43" s="29">
        <v>0.14299999999999999</v>
      </c>
      <c r="L43" s="29">
        <v>0.112</v>
      </c>
      <c r="M43" s="29">
        <v>0.11899999999999999</v>
      </c>
      <c r="N43" s="14"/>
      <c r="O43" s="14"/>
      <c r="P43" s="14"/>
      <c r="Q43" s="14"/>
      <c r="R43" s="14"/>
    </row>
    <row r="44" spans="1:18">
      <c r="A44" s="13" t="s">
        <v>112</v>
      </c>
      <c r="B44" s="14"/>
      <c r="C44" s="14"/>
      <c r="D44" s="14"/>
      <c r="E44" s="14"/>
      <c r="F44" s="14"/>
      <c r="G44" s="14"/>
      <c r="H44" s="14"/>
      <c r="I44" s="14"/>
      <c r="J44" s="14"/>
      <c r="K44" s="14"/>
      <c r="L44" s="14"/>
      <c r="M44" s="14"/>
      <c r="N44" s="14"/>
      <c r="O44" s="14"/>
      <c r="P44" s="14"/>
      <c r="Q44" s="14"/>
      <c r="R44" s="14"/>
    </row>
    <row r="45" spans="1:18">
      <c r="A45" s="17" t="s">
        <v>30</v>
      </c>
      <c r="B45" s="17" t="s">
        <v>30</v>
      </c>
      <c r="C45" s="17" t="s">
        <v>30</v>
      </c>
      <c r="D45" s="17" t="s">
        <v>30</v>
      </c>
      <c r="E45" s="17" t="s">
        <v>113</v>
      </c>
      <c r="F45" s="17" t="s">
        <v>30</v>
      </c>
      <c r="G45" s="17" t="s">
        <v>30</v>
      </c>
      <c r="H45" s="17" t="s">
        <v>114</v>
      </c>
      <c r="I45" s="17" t="s">
        <v>30</v>
      </c>
      <c r="J45" s="17" t="s">
        <v>30</v>
      </c>
      <c r="K45" s="17" t="s">
        <v>30</v>
      </c>
      <c r="L45" s="17" t="s">
        <v>36</v>
      </c>
      <c r="M45" s="17" t="s">
        <v>30</v>
      </c>
      <c r="N45" s="17" t="s">
        <v>30</v>
      </c>
      <c r="O45" s="17" t="s">
        <v>30</v>
      </c>
      <c r="P45" s="17" t="s">
        <v>30</v>
      </c>
      <c r="Q45" s="17" t="s">
        <v>30</v>
      </c>
      <c r="R45" s="17" t="s">
        <v>30</v>
      </c>
    </row>
    <row r="46" spans="1:18">
      <c r="A46" s="17" t="s">
        <v>37</v>
      </c>
      <c r="B46" s="17" t="s">
        <v>30</v>
      </c>
      <c r="C46" s="17" t="s">
        <v>38</v>
      </c>
      <c r="D46" s="17" t="s">
        <v>30</v>
      </c>
      <c r="E46" s="17" t="s">
        <v>30</v>
      </c>
      <c r="F46" s="17" t="s">
        <v>30</v>
      </c>
      <c r="G46" s="17" t="s">
        <v>30</v>
      </c>
      <c r="H46" s="17" t="s">
        <v>30</v>
      </c>
      <c r="I46" s="17" t="s">
        <v>30</v>
      </c>
      <c r="J46" s="17" t="s">
        <v>30</v>
      </c>
      <c r="K46" s="17" t="s">
        <v>115</v>
      </c>
      <c r="L46" s="17" t="s">
        <v>30</v>
      </c>
      <c r="M46" s="17" t="s">
        <v>30</v>
      </c>
      <c r="N46" s="17" t="s">
        <v>30</v>
      </c>
      <c r="O46" s="17" t="s">
        <v>30</v>
      </c>
      <c r="P46" s="17" t="s">
        <v>30</v>
      </c>
      <c r="Q46" s="17" t="s">
        <v>30</v>
      </c>
      <c r="R46" s="17" t="s">
        <v>30</v>
      </c>
    </row>
    <row r="47" spans="1:18">
      <c r="A47" s="17" t="s">
        <v>41</v>
      </c>
      <c r="B47" s="17" t="s">
        <v>42</v>
      </c>
      <c r="C47" s="17" t="s">
        <v>43</v>
      </c>
      <c r="D47" s="17" t="s">
        <v>116</v>
      </c>
      <c r="E47" s="17" t="s">
        <v>116</v>
      </c>
      <c r="F47" s="17" t="s">
        <v>78</v>
      </c>
      <c r="G47" s="17" t="s">
        <v>117</v>
      </c>
      <c r="H47" s="17" t="s">
        <v>116</v>
      </c>
      <c r="I47" s="17" t="s">
        <v>78</v>
      </c>
      <c r="J47" s="17" t="s">
        <v>118</v>
      </c>
      <c r="K47" s="17" t="s">
        <v>119</v>
      </c>
      <c r="L47" s="17" t="s">
        <v>120</v>
      </c>
      <c r="M47" s="17" t="s">
        <v>121</v>
      </c>
      <c r="N47" s="17" t="s">
        <v>122</v>
      </c>
      <c r="O47" s="17" t="s">
        <v>123</v>
      </c>
      <c r="P47" s="17" t="s">
        <v>56</v>
      </c>
      <c r="Q47" s="17" t="s">
        <v>57</v>
      </c>
      <c r="R47" s="17" t="s">
        <v>58</v>
      </c>
    </row>
    <row r="48" spans="1:18">
      <c r="A48" s="18" t="s">
        <v>59</v>
      </c>
      <c r="B48" s="18" t="s">
        <v>60</v>
      </c>
      <c r="C48" s="19">
        <v>45930</v>
      </c>
      <c r="D48" s="18">
        <v>82.06</v>
      </c>
      <c r="E48" s="18">
        <v>83.38</v>
      </c>
      <c r="F48" s="19">
        <v>45939</v>
      </c>
      <c r="G48" s="30">
        <v>-1.5900000000000001E-2</v>
      </c>
      <c r="H48" s="18">
        <v>40.6</v>
      </c>
      <c r="I48" s="19">
        <v>45756</v>
      </c>
      <c r="J48" s="28">
        <v>1.0213000000000001</v>
      </c>
      <c r="K48" s="18">
        <v>0.98</v>
      </c>
      <c r="L48" s="28">
        <v>7.9899999999999999E-2</v>
      </c>
      <c r="M48" s="28">
        <v>0.114</v>
      </c>
      <c r="N48" s="28">
        <v>0.56379999999999997</v>
      </c>
      <c r="O48" s="28">
        <v>0.63360000000000005</v>
      </c>
      <c r="P48" s="28">
        <v>0.50470000000000004</v>
      </c>
      <c r="Q48" s="28">
        <v>0.96819999999999995</v>
      </c>
      <c r="R48" s="28">
        <v>1.9311</v>
      </c>
    </row>
    <row r="49" spans="1:18">
      <c r="A49" s="14" t="s">
        <v>63</v>
      </c>
      <c r="B49" s="14" t="s">
        <v>64</v>
      </c>
      <c r="C49" s="22">
        <v>45930</v>
      </c>
      <c r="D49" s="14">
        <v>37.61</v>
      </c>
      <c r="E49" s="14">
        <v>41.64</v>
      </c>
      <c r="F49" s="22">
        <v>45967</v>
      </c>
      <c r="G49" s="31">
        <v>-9.6699999999999994E-2</v>
      </c>
      <c r="H49" s="14">
        <v>10.24</v>
      </c>
      <c r="I49" s="22">
        <v>45756</v>
      </c>
      <c r="J49" s="29">
        <v>2.6743000000000001</v>
      </c>
      <c r="K49" s="14">
        <v>0.99</v>
      </c>
      <c r="L49" s="29">
        <v>1.9300000000000001E-2</v>
      </c>
      <c r="M49" s="29">
        <v>0.35420000000000001</v>
      </c>
      <c r="N49" s="29">
        <v>1.2030000000000001</v>
      </c>
      <c r="O49" s="29">
        <v>1.9069</v>
      </c>
      <c r="P49" s="29">
        <v>1.2148000000000001</v>
      </c>
      <c r="Q49" s="29">
        <v>1.2856000000000001</v>
      </c>
      <c r="R49" s="29">
        <v>4.6627000000000001</v>
      </c>
    </row>
    <row r="50" spans="1:18">
      <c r="A50" s="18" t="s">
        <v>66</v>
      </c>
      <c r="B50" s="18" t="s">
        <v>67</v>
      </c>
      <c r="C50" s="19">
        <v>45838</v>
      </c>
      <c r="D50" s="18">
        <v>22.77</v>
      </c>
      <c r="E50" s="18">
        <v>33.57</v>
      </c>
      <c r="F50" s="19">
        <v>45621</v>
      </c>
      <c r="G50" s="30">
        <v>-0.32190000000000002</v>
      </c>
      <c r="H50" s="18">
        <v>4.78</v>
      </c>
      <c r="I50" s="19">
        <v>45768</v>
      </c>
      <c r="J50" s="28">
        <v>3.7648999999999999</v>
      </c>
      <c r="K50" s="18">
        <v>1.85</v>
      </c>
      <c r="L50" s="30">
        <v>-0.15329999999999999</v>
      </c>
      <c r="M50" s="28">
        <v>2.12E-2</v>
      </c>
      <c r="N50" s="28">
        <v>1.1913</v>
      </c>
      <c r="O50" s="28">
        <v>1.8177000000000001</v>
      </c>
      <c r="P50" s="30">
        <v>-0.19400000000000001</v>
      </c>
      <c r="Q50" s="28">
        <v>0.1419</v>
      </c>
      <c r="R50" s="21" t="s">
        <v>61</v>
      </c>
    </row>
    <row r="51" spans="1:18">
      <c r="A51" s="14" t="s">
        <v>68</v>
      </c>
      <c r="B51" s="14" t="s">
        <v>69</v>
      </c>
      <c r="C51" s="22">
        <v>45930</v>
      </c>
      <c r="D51" s="14">
        <v>17.25</v>
      </c>
      <c r="E51" s="14">
        <v>18.559999999999999</v>
      </c>
      <c r="F51" s="22">
        <v>45939</v>
      </c>
      <c r="G51" s="31">
        <v>-7.0400000000000004E-2</v>
      </c>
      <c r="H51" s="14">
        <v>7.26</v>
      </c>
      <c r="I51" s="22">
        <v>45754</v>
      </c>
      <c r="J51" s="29">
        <v>1.3775999999999999</v>
      </c>
      <c r="K51" s="14">
        <v>1.34</v>
      </c>
      <c r="L51" s="29">
        <v>0.10050000000000001</v>
      </c>
      <c r="M51" s="29">
        <v>5.1999999999999998E-2</v>
      </c>
      <c r="N51" s="29">
        <v>0.95120000000000005</v>
      </c>
      <c r="O51" s="29">
        <v>0.99829999999999997</v>
      </c>
      <c r="P51" s="29">
        <v>0.6462</v>
      </c>
      <c r="Q51" s="31">
        <v>-1.37E-2</v>
      </c>
      <c r="R51" s="29">
        <v>0.28610000000000002</v>
      </c>
    </row>
    <row r="52" spans="1:18">
      <c r="A52" s="18" t="s">
        <v>124</v>
      </c>
      <c r="B52" s="18" t="s">
        <v>30</v>
      </c>
      <c r="C52" s="18" t="s">
        <v>30</v>
      </c>
      <c r="D52" s="18" t="s">
        <v>30</v>
      </c>
      <c r="E52" s="18" t="s">
        <v>30</v>
      </c>
      <c r="F52" s="18" t="s">
        <v>30</v>
      </c>
      <c r="G52" s="30">
        <v>-1.5900000000000001E-2</v>
      </c>
      <c r="H52" s="18" t="s">
        <v>30</v>
      </c>
      <c r="I52" s="18" t="s">
        <v>30</v>
      </c>
      <c r="J52" s="28">
        <v>3.7648999999999999</v>
      </c>
      <c r="K52" s="18">
        <v>1.85</v>
      </c>
      <c r="L52" s="28">
        <v>0.10050000000000001</v>
      </c>
      <c r="M52" s="28">
        <v>0.35420000000000001</v>
      </c>
      <c r="N52" s="28">
        <v>1.2030000000000001</v>
      </c>
      <c r="O52" s="28">
        <v>1.9069</v>
      </c>
      <c r="P52" s="28">
        <v>1.2148000000000001</v>
      </c>
      <c r="Q52" s="28">
        <v>1.2856000000000001</v>
      </c>
      <c r="R52" s="28">
        <v>4.6627000000000001</v>
      </c>
    </row>
    <row r="53" spans="1:18">
      <c r="A53" s="14" t="s">
        <v>125</v>
      </c>
      <c r="B53" s="14"/>
      <c r="C53" s="14"/>
      <c r="D53" s="14"/>
      <c r="E53" s="14"/>
      <c r="F53" s="14"/>
      <c r="G53" s="31">
        <v>-0.32190000000000002</v>
      </c>
      <c r="H53" s="14"/>
      <c r="I53" s="14"/>
      <c r="J53" s="29">
        <v>1.0213000000000001</v>
      </c>
      <c r="K53" s="14">
        <v>0.98</v>
      </c>
      <c r="L53" s="31">
        <v>-0.15329999999999999</v>
      </c>
      <c r="M53" s="29">
        <v>2.12E-2</v>
      </c>
      <c r="N53" s="29">
        <v>0.56379999999999997</v>
      </c>
      <c r="O53" s="29">
        <v>0.63360000000000005</v>
      </c>
      <c r="P53" s="31">
        <v>-0.19400000000000001</v>
      </c>
      <c r="Q53" s="31">
        <v>-1.37E-2</v>
      </c>
      <c r="R53" s="29">
        <v>0.28610000000000002</v>
      </c>
    </row>
    <row r="54" spans="1:18">
      <c r="A54" s="13" t="s">
        <v>126</v>
      </c>
      <c r="B54" s="14"/>
      <c r="C54" s="14"/>
      <c r="D54" s="14"/>
      <c r="E54" s="14"/>
      <c r="F54" s="14"/>
      <c r="G54" s="14"/>
      <c r="H54" s="14"/>
      <c r="I54" s="14"/>
      <c r="J54" s="14"/>
      <c r="K54" s="14"/>
      <c r="L54" s="14"/>
      <c r="M54" s="14"/>
      <c r="N54" s="14"/>
      <c r="O54" s="14"/>
      <c r="P54" s="14"/>
      <c r="Q54" s="14"/>
      <c r="R54" s="14"/>
    </row>
    <row r="118" spans="1:1">
      <c r="A118" t="s">
        <v>127</v>
      </c>
    </row>
    <row r="125" spans="1:1">
      <c r="A125" t="s">
        <v>128</v>
      </c>
    </row>
    <row r="126" spans="1:1">
      <c r="A126" t="s">
        <v>129</v>
      </c>
    </row>
    <row r="127" spans="1:1" ht="15.75">
      <c r="A127" s="48" t="s">
        <v>130</v>
      </c>
    </row>
  </sheetData>
  <mergeCells count="11">
    <mergeCell ref="A1:E1"/>
    <mergeCell ref="A5:B5"/>
    <mergeCell ref="D7:E7"/>
    <mergeCell ref="I7:J7"/>
    <mergeCell ref="D27:E27"/>
    <mergeCell ref="AB7:AC7"/>
    <mergeCell ref="AD7:AF7"/>
    <mergeCell ref="D35:E35"/>
    <mergeCell ref="F35:G35"/>
    <mergeCell ref="H35:I35"/>
    <mergeCell ref="J35:K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51FE5-4E3A-4CA5-AF82-6DBCB4F4E3EE}">
  <dimension ref="N17"/>
  <sheetViews>
    <sheetView topLeftCell="B1" workbookViewId="0">
      <selection activeCell="N17" sqref="N17"/>
    </sheetView>
  </sheetViews>
  <sheetFormatPr defaultRowHeight="14.25"/>
  <sheetData>
    <row r="17" spans="14:14">
      <c r="N17" s="3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2208-2FC7-40DC-8122-841F54BDE2DD}">
  <dimension ref="A1:H24"/>
  <sheetViews>
    <sheetView workbookViewId="0">
      <selection activeCell="A18" sqref="A18"/>
    </sheetView>
  </sheetViews>
  <sheetFormatPr defaultRowHeight="14.25"/>
  <cols>
    <col min="1" max="1" width="60.3984375" customWidth="1"/>
    <col min="2" max="2" width="37.1328125" customWidth="1"/>
    <col min="3" max="3" width="39.265625" customWidth="1"/>
    <col min="4" max="4" width="38.59765625" customWidth="1"/>
    <col min="5" max="5" width="40.59765625" customWidth="1"/>
    <col min="6" max="6" width="41.59765625" customWidth="1"/>
    <col min="7" max="7" width="41.265625" customWidth="1"/>
    <col min="8" max="8" width="87.3984375" customWidth="1"/>
    <col min="9" max="9" width="43" customWidth="1"/>
  </cols>
  <sheetData>
    <row r="1" spans="1:8" ht="40.5">
      <c r="A1" s="38" t="s">
        <v>131</v>
      </c>
      <c r="B1" s="38" t="s">
        <v>132</v>
      </c>
      <c r="C1" s="38" t="s">
        <v>133</v>
      </c>
      <c r="D1" s="38" t="s">
        <v>134</v>
      </c>
      <c r="E1" s="38" t="s">
        <v>135</v>
      </c>
      <c r="F1" s="38" t="s">
        <v>136</v>
      </c>
      <c r="G1" s="39" t="s">
        <v>137</v>
      </c>
      <c r="H1" s="35"/>
    </row>
    <row r="2" spans="1:8" ht="20.25">
      <c r="A2" s="38" t="s">
        <v>138</v>
      </c>
      <c r="B2" s="40">
        <v>4.59</v>
      </c>
      <c r="C2" s="40">
        <v>1.98</v>
      </c>
      <c r="D2" s="40">
        <v>0.52</v>
      </c>
      <c r="E2" s="41">
        <v>0.19</v>
      </c>
      <c r="F2" s="40">
        <f>AVERAGE(B2:D2)</f>
        <v>2.3633333333333333</v>
      </c>
      <c r="G2" s="40">
        <f>MEDIAN(B2:D2)</f>
        <v>1.98</v>
      </c>
      <c r="H2" s="35"/>
    </row>
    <row r="3" spans="1:8" ht="20.25">
      <c r="A3" s="38" t="s">
        <v>139</v>
      </c>
      <c r="B3" s="40">
        <v>82.06</v>
      </c>
      <c r="C3" s="40">
        <v>37.61</v>
      </c>
      <c r="D3" s="40">
        <v>17.25</v>
      </c>
      <c r="E3" s="40">
        <v>22.77</v>
      </c>
      <c r="F3" s="40">
        <f>AVERAGE(B3:E3)</f>
        <v>39.922500000000007</v>
      </c>
      <c r="G3" s="40">
        <f>MEDIAN(B3:E3)</f>
        <v>30.189999999999998</v>
      </c>
      <c r="H3" s="35"/>
    </row>
    <row r="4" spans="1:8" ht="20.25">
      <c r="A4" s="42" t="s">
        <v>140</v>
      </c>
      <c r="B4" s="43">
        <f>B3/B2</f>
        <v>17.877995642701528</v>
      </c>
      <c r="C4" s="43">
        <f>C3/C2</f>
        <v>18.994949494949495</v>
      </c>
      <c r="D4" s="43">
        <f>D3/D2</f>
        <v>33.17307692307692</v>
      </c>
      <c r="E4" s="43">
        <f>E3/E2</f>
        <v>119.84210526315789</v>
      </c>
      <c r="F4" s="43">
        <f>AVERAGE(B4:D4)</f>
        <v>23.348674020242651</v>
      </c>
      <c r="G4" s="43">
        <f>MEDIAN(B4:D4)</f>
        <v>18.994949494949495</v>
      </c>
      <c r="H4" s="35"/>
    </row>
    <row r="5" spans="1:8" ht="20.25">
      <c r="A5" s="38" t="s">
        <v>141</v>
      </c>
      <c r="B5" s="40">
        <v>74737.8</v>
      </c>
      <c r="C5" s="40">
        <v>18260.3</v>
      </c>
      <c r="D5" s="40">
        <v>11536.7</v>
      </c>
      <c r="E5" s="40">
        <v>3416.2</v>
      </c>
      <c r="F5" s="40">
        <f>AVERAGE(B5:E5)</f>
        <v>26987.75</v>
      </c>
      <c r="G5" s="40">
        <f>MEDIAN(B5:E5)</f>
        <v>14898.5</v>
      </c>
      <c r="H5" s="35"/>
    </row>
    <row r="6" spans="1:8" ht="20.25">
      <c r="A6" s="38" t="s">
        <v>142</v>
      </c>
      <c r="B6" s="40">
        <v>4530.8999999999996</v>
      </c>
      <c r="C6" s="40">
        <v>2052.8000000000002</v>
      </c>
      <c r="D6" s="40">
        <v>2200.9</v>
      </c>
      <c r="E6" s="40">
        <v>183.6</v>
      </c>
      <c r="F6" s="40">
        <f>AVERAGE(B6:E6)</f>
        <v>2242.0500000000002</v>
      </c>
      <c r="G6" s="40">
        <f>MEDIAN(B6:E6)</f>
        <v>2126.8500000000004</v>
      </c>
      <c r="H6" s="35"/>
    </row>
    <row r="7" spans="1:8" ht="20.25">
      <c r="A7" s="42" t="s">
        <v>143</v>
      </c>
      <c r="B7" s="43">
        <f>B3/(B5/B6)</f>
        <v>4.9748006229779307</v>
      </c>
      <c r="C7" s="43">
        <f>C3/(C5/C6)</f>
        <v>4.2280689802467659</v>
      </c>
      <c r="D7" s="43">
        <f>D3/(D5/D6)</f>
        <v>3.2908479027798241</v>
      </c>
      <c r="E7" s="43">
        <f>E3/(E5/E6)</f>
        <v>1.2237491950120016</v>
      </c>
      <c r="F7" s="43">
        <f>AVERAGE(B7:D7)</f>
        <v>4.1645725020015067</v>
      </c>
      <c r="G7" s="43">
        <f>MEDIAN(B7:D7)</f>
        <v>4.2280689802467659</v>
      </c>
      <c r="H7" s="35"/>
    </row>
    <row r="8" spans="1:8" ht="20.25">
      <c r="A8" s="38" t="s">
        <v>144</v>
      </c>
      <c r="B8" s="40">
        <v>48653.599999999999</v>
      </c>
      <c r="C8" s="40">
        <v>7271.55</v>
      </c>
      <c r="D8" s="40">
        <v>7404.67</v>
      </c>
      <c r="E8" s="40">
        <v>637.79</v>
      </c>
      <c r="F8" s="40">
        <f>AVERAGE(B8:E8)</f>
        <v>15991.9025</v>
      </c>
      <c r="G8" s="40">
        <f>MEDIAN(B8:E8)</f>
        <v>7338.1100000000006</v>
      </c>
      <c r="H8" s="35"/>
    </row>
    <row r="9" spans="1:8" ht="20.25">
      <c r="A9" s="42" t="s">
        <v>145</v>
      </c>
      <c r="B9" s="43">
        <f>B3/(B8/B6)</f>
        <v>7.6418940016771622</v>
      </c>
      <c r="C9" s="43">
        <f>C3/(C8/C6)</f>
        <v>10.617517310614657</v>
      </c>
      <c r="D9" s="43">
        <f>D3/(D8/D6)</f>
        <v>5.1272406467810177</v>
      </c>
      <c r="E9" s="43">
        <f>E3/(E8/E6)</f>
        <v>6.5547782185358816</v>
      </c>
      <c r="F9" s="43">
        <f>AVERAGE(B9:D9)</f>
        <v>7.7955506530242786</v>
      </c>
      <c r="G9" s="43">
        <f>MEDIAN(B9:D9)</f>
        <v>7.6418940016771622</v>
      </c>
      <c r="H9" s="35"/>
    </row>
    <row r="10" spans="1:8" ht="20.25">
      <c r="A10" s="42" t="s">
        <v>146</v>
      </c>
      <c r="B10" s="43">
        <f>(G4*B2+G7*(B5/B6)+G9*(B8/B6))/3</f>
        <v>79.663126702707089</v>
      </c>
      <c r="C10" s="44" t="s">
        <v>61</v>
      </c>
      <c r="D10" s="44" t="s">
        <v>61</v>
      </c>
      <c r="E10" s="44" t="s">
        <v>61</v>
      </c>
      <c r="F10" s="44" t="s">
        <v>61</v>
      </c>
      <c r="G10" s="45" t="s">
        <v>61</v>
      </c>
      <c r="H10" s="35"/>
    </row>
    <row r="15" spans="1:8" ht="45" customHeight="1">
      <c r="A15" s="36" t="s">
        <v>147</v>
      </c>
    </row>
    <row r="17" spans="1:1" ht="18.75" customHeight="1">
      <c r="A17" s="37" t="s">
        <v>128</v>
      </c>
    </row>
    <row r="18" spans="1:1" ht="18.75" customHeight="1">
      <c r="A18" s="47" t="s">
        <v>148</v>
      </c>
    </row>
    <row r="19" spans="1:1">
      <c r="A19" s="49"/>
    </row>
    <row r="20" spans="1:1">
      <c r="A20" s="49"/>
    </row>
    <row r="21" spans="1:1">
      <c r="A21" s="49"/>
    </row>
    <row r="22" spans="1:1">
      <c r="A22" s="46"/>
    </row>
    <row r="24" spans="1:1">
      <c r="A24" s="4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C098ECAA866A4DB1FC5A2B2BBD7A53" ma:contentTypeVersion="6" ma:contentTypeDescription="Create a new document." ma:contentTypeScope="" ma:versionID="ef9dfd78b1a758ec6143fb796215d7ff">
  <xsd:schema xmlns:xsd="http://www.w3.org/2001/XMLSchema" xmlns:xs="http://www.w3.org/2001/XMLSchema" xmlns:p="http://schemas.microsoft.com/office/2006/metadata/properties" xmlns:ns3="7e6d2e68-e2eb-49f7-878f-8779cad349ef" targetNamespace="http://schemas.microsoft.com/office/2006/metadata/properties" ma:root="true" ma:fieldsID="e5aeaf50d030b8ac2d18ddefb3fa9076" ns3:_="">
    <xsd:import namespace="7e6d2e68-e2eb-49f7-878f-8779cad349e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6d2e68-e2eb-49f7-878f-8779cad349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e6d2e68-e2eb-49f7-878f-8779cad349ef" xsi:nil="true"/>
  </documentManagement>
</p:properties>
</file>

<file path=customXml/itemProps1.xml><?xml version="1.0" encoding="utf-8"?>
<ds:datastoreItem xmlns:ds="http://schemas.openxmlformats.org/officeDocument/2006/customXml" ds:itemID="{06B585C7-4C42-4109-8514-D06032FF8E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6d2e68-e2eb-49f7-878f-8779cad349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3FD442-FC28-4775-A6EB-52CAAEE97405}">
  <ds:schemaRefs>
    <ds:schemaRef ds:uri="http://schemas.microsoft.com/sharepoint/v3/contenttype/forms"/>
  </ds:schemaRefs>
</ds:datastoreItem>
</file>

<file path=customXml/itemProps3.xml><?xml version="1.0" encoding="utf-8"?>
<ds:datastoreItem xmlns:ds="http://schemas.openxmlformats.org/officeDocument/2006/customXml" ds:itemID="{D34547A9-A902-46D4-97E9-6FC03868D58E}">
  <ds:schemaRef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 ds:uri="http://schemas.openxmlformats.org/package/2006/metadata/core-properties"/>
    <ds:schemaRef ds:uri="7e6d2e68-e2eb-49f7-878f-8779cad349ef"/>
    <ds:schemaRef ds:uri="http://purl.org/dc/terms/"/>
  </ds:schemaRefs>
</ds:datastoreItem>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CATL</vt:lpstr>
      <vt:lpstr>Sungrow</vt:lpstr>
      <vt:lpstr>Fluence</vt:lpstr>
      <vt:lpstr>EVE Energy</vt:lpstr>
      <vt:lpstr>Comparison Table</vt:lpstr>
      <vt:lpstr>Investment thesis</vt:lpstr>
      <vt:lpstr>Valuation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Axel Nkenda Nkenda</dc:creator>
  <cp:keywords/>
  <dc:description/>
  <cp:lastModifiedBy>Axel Nkenda Nkenda</cp:lastModifiedBy>
  <cp:revision/>
  <dcterms:created xsi:type="dcterms:W3CDTF">2025-11-12T18:11:28Z</dcterms:created>
  <dcterms:modified xsi:type="dcterms:W3CDTF">2025-11-23T23:52:29Z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0x010100F1C098ECAA866A4DB1FC5A2B2BBD7A53</vt:lpwstr>
  </property>
</Properties>
</file>